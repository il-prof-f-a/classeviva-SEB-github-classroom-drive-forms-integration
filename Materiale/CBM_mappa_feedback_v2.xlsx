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" sheetId="1" state="visible" r:id="rId1"/>
    <sheet xmlns:r="http://schemas.openxmlformats.org/officeDocument/2006/relationships" name="Punti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Voto accuratezza (decimi)</t>
        </is>
      </c>
      <c r="B1" s="1" t="inlineStr">
        <is>
          <t>Accuratezza (%)</t>
        </is>
      </c>
      <c r="C1" s="1" t="inlineStr">
        <is>
          <t>Molto sotto spezzata</t>
        </is>
      </c>
      <c r="D1" s="1" t="inlineStr">
        <is>
          <t>Sotto spezzata</t>
        </is>
      </c>
      <c r="E1" s="1" t="inlineStr">
        <is>
          <t>Sulla spezzata</t>
        </is>
      </c>
      <c r="F1" s="1" t="inlineStr">
        <is>
          <t>Sopra spezzata</t>
        </is>
      </c>
      <c r="G1" s="1" t="inlineStr">
        <is>
          <t>Molto sopra spezzata</t>
        </is>
      </c>
      <c r="H1" s="1" t="inlineStr">
        <is>
          <t>Quasi sulla retta</t>
        </is>
      </c>
      <c r="I1" s="1" t="inlineStr">
        <is>
          <t>Sulla retta (ideale)</t>
        </is>
      </c>
    </row>
    <row r="2" ht="115" customHeight="1">
      <c r="A2" s="2" t="n">
        <v>1</v>
      </c>
      <c r="B2" s="2" t="n">
        <v>10</v>
      </c>
      <c r="C2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2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2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2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2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2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2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3" ht="115" customHeight="1">
      <c r="A3" s="2" t="n">
        <v>1.5</v>
      </c>
      <c r="B3" s="2" t="n">
        <v>15</v>
      </c>
      <c r="C3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3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3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3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3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3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3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4" ht="115" customHeight="1">
      <c r="A4" s="2" t="n">
        <v>2</v>
      </c>
      <c r="B4" s="2" t="n">
        <v>20</v>
      </c>
      <c r="C4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4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4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4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4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4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4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5" ht="115" customHeight="1">
      <c r="A5" s="2" t="n">
        <v>2.5</v>
      </c>
      <c r="B5" s="2" t="n">
        <v>25</v>
      </c>
      <c r="C5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5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5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5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5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5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5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6" ht="115" customHeight="1">
      <c r="A6" s="2" t="n">
        <v>3</v>
      </c>
      <c r="B6" s="2" t="n">
        <v>30</v>
      </c>
      <c r="C6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6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6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6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6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6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6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7" ht="115" customHeight="1">
      <c r="A7" s="2" t="n">
        <v>3.5</v>
      </c>
      <c r="B7" s="2" t="n">
        <v>35</v>
      </c>
      <c r="C7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7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7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7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7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7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7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8" ht="115" customHeight="1">
      <c r="A8" s="2" t="n">
        <v>4</v>
      </c>
      <c r="B8" s="2" t="n">
        <v>40</v>
      </c>
      <c r="C8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8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8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8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8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8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8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9" ht="115" customHeight="1">
      <c r="A9" s="2" t="n">
        <v>4.5</v>
      </c>
      <c r="B9" s="2" t="n">
        <v>45</v>
      </c>
      <c r="C9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D9" s="3" t="inlineStr">
        <is>
          <t>[Recupero (basi da consolidare) — Disorientamento + false certezze (priorità: ripasso guidato)]
Base ancora fragile e sicurezza spesso fuori bersaglio: rischio di 'false certezze'. Riparti dai concetti fondamentali e, quando ti senti molto sicuro, chiediti: «so anche spiegare il perché?»
Azioni consigliate:
- Ripassa i concetti base (10 minuti) e rifai le domande sbagliate spiegandole ad alta voce.
- Quando ti senti 'sicuro', fermati e verifica con un esempio: evita certezze senza prova.</t>
        </is>
      </c>
      <c r="E9" s="3" t="inlineStr">
        <is>
          <t>[Recupero (basi da consolidare) — Consapevolezza minima (prudenza / poca discriminazione)]
Risultato ancora sotto la sufficienza, ma la prudenza è coerente: sai quando non sei sicuro. Buon segnale—ora serve consolidare i fondamentali con studio mirato.
Azioni consigliate:
- Ripassa i concetti base (10 minuti) e rifai le domande sbagliate spiegandole ad alta voce.
- Usa una lista 'so / non so': è meglio dichiarare dubbio e poi studiare mirato.</t>
        </is>
      </c>
      <c r="F9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G9" s="3" t="inlineStr">
        <is>
          <t>[Recupero (basi da consolidare) — Buona consapevolezza (discrimini abbastanza bene)]
Conoscenza ancora debole, però stai stimando abbastanza bene la tua sicurezza: buona consapevolezza. Usa questo dato per studiare meglio: priorità agli errori più frequenti.
Azioni consigliate:
- Ripassa i concetti base (10 minuti) e rifai le domande sbagliate spiegandole ad alta voce.
- Usa una lista 'so / non so': è meglio dichiarare dubbio e poi studiare mirato.</t>
        </is>
      </c>
      <c r="H9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  <c r="I9" s="3" t="inlineStr">
        <is>
          <t>[Recupero (basi da consolidare) — Consapevolezza alta (calibrazione molto buona)]
Anche se il punteggio è basso, la tua calibrazione è ottima: distingui bene ciò che sai da ciò che non sai. Ottimo punto di partenza per recuperare rapidamente.
Azioni consigliate:
- Ripassa i concetti base (10 minuti) e rifai le domande sbagliate spiegandole ad alta voce.
- Usa una lista 'so / non so': è meglio dichiarare dubbio e poi studiare mirato.</t>
        </is>
      </c>
    </row>
    <row r="10" ht="115" customHeight="1">
      <c r="A10" s="2" t="n">
        <v>5</v>
      </c>
      <c r="B10" s="2" t="n">
        <v>50</v>
      </c>
      <c r="C10" s="3" t="inlineStr">
        <is>
          <t>[Sufficiente (basi presenti, da stabilizzare) — Rischio di false certezze (sicurezza incoerente)]
Sei al limite, ma la sicurezza non è coerente: alcune risposte sembrano 'spari' o convinzioni sbagliate. Rivedi soprattutto i punti dove eri molto sicuro e hai sbagliato.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0" s="3" t="inlineStr">
        <is>
          <t>[Sufficiente (basi presenti, da stabilizzare) — Rischio di false certezze (sicurezza incoerente)]
Sei al limite, ma la sicurezza non è coerente: alcune risposte sembrano 'spari' o convinzioni sbagliate. Rivedi soprattutto i punti dove eri molto sicuro e hai sbagliato.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0" s="3" t="inlineStr">
        <is>
          <t>[Sufficiente (basi presenti, da stabilizzare) — Consapevolezza minima (prudenza / poca discriminazione)]
Sufficiente, ma con sicurezza minima: spesso hai risposto giusto senza esserne convinto. Allenati a motivare le risposte: «come lo dimostro?»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0" s="3" t="inlineStr">
        <is>
          <t>[Sufficiente (basi presenti, da stabilizzare) — Buona consapevolezza (discrimini abbastanza bene)]
Sufficiente con buona consapevolezza: in generale distingui bene tra certezze e dubbi. Continua così e colma le lacune più mirate.
Azioni consigliate:
- Individua 2 argomenti dove eri incerto e costruisci una scheda: definizione + esempio + errore tipico.
- Allenati con domande simili e controlla se la tua sicurezza cresce quando la spiegazione è chiara.</t>
        </is>
      </c>
      <c r="G10" s="3" t="inlineStr">
        <is>
          <t>[Sufficiente (basi presenti, da stabilizzare) — Buona consapevolezza (discrimini abbastanza bene)]
Sufficiente con buona consapevolezza: in generale distingui bene tra certezze e dubbi. Continua così e colma le lacune più mirate.
Azioni consigliate:
- Individua 2 argomenti dove eri incerto e costruisci una scheda: definizione + esempio + errore tipico.
- Allenati con domande simili e controlla se la tua sicurezza cresce quando la spiegazione è chiara.</t>
        </is>
      </c>
      <c r="H10" s="3" t="inlineStr">
        <is>
          <t>[Sufficiente (basi presenti, da stabilizzare) — Consapevolezza alta (calibrazione molto buona)]
Sufficiente con calibrazione ottima: sai riconoscere bene quando sei affidabile. Il prossimo passo è allargare la base di conoscenza per salire di livello.
Azioni consigliate:
- Mantieni la strategia: prima ragionamento, poi scelta della sicurezza (non il contrario).
- Prova esercizi di trasferimento (nuovi contesti): se resti calibrato anche lì, hai davvero consolidato.</t>
        </is>
      </c>
      <c r="I10" s="3" t="inlineStr">
        <is>
          <t>[Sufficiente (basi presenti, da stabilizzare) — Consapevolezza alta (calibrazione molto buona)]
Sufficiente con calibrazione ottima: sai riconoscere bene quando sei affidabile. Il prossimo passo è allargare la base di conoscenza per salire di livello.
Azioni consigliate:
- Mantieni la strategia: prima ragionamento, poi scelta della sicurezza (non il contrario).
- Prova esercizi di trasferimento (nuovi contesti): se resti calibrato anche lì, hai davvero consolidato.</t>
        </is>
      </c>
    </row>
    <row r="11" ht="115" customHeight="1">
      <c r="A11" s="2" t="n">
        <v>5.5</v>
      </c>
      <c r="B11" s="2" t="n">
        <v>55</v>
      </c>
      <c r="C11" s="3" t="inlineStr">
        <is>
          <t>[Sufficiente (basi presenti, da stabilizzare) — Rischio di false certezze (sicurezza incoerente)]
Sei al limite, ma la sicurezza non è coerente: alcune risposte sembrano 'spari' o convinzioni sbagliate. Rivedi soprattutto i punti dove eri molto sicuro e hai sbagliato.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1" s="3" t="inlineStr">
        <is>
          <t>[Sufficiente (basi presenti, da stabilizzare) — Rischio di false certezze (sicurezza incoerente)]
Sei al limite, ma la sicurezza non è coerente: alcune risposte sembrano 'spari' o convinzioni sbagliate. Rivedi soprattutto i punti dove eri molto sicuro e hai sbagliato.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1" s="3" t="inlineStr">
        <is>
          <t>[Sufficiente (basi presenti, da stabilizzare) — Consapevolezza minima (prudenza / poca discriminazione)]
Sufficiente, ma con sicurezza minima: spesso hai risposto giusto senza esserne convinto. Allenati a motivare le risposte: «come lo dimostro?»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1" s="3" t="inlineStr">
        <is>
          <t>[Sufficiente (basi presenti, da stabilizzare) — Buona consapevolezza (discrimini abbastanza bene)]
Sufficiente con buona consapevolezza: in generale distingui bene tra certezze e dubbi. Continua così e colma le lacune più mirate.
Azioni consigliate:
- Individua 2 argomenti dove eri incerto e costruisci una scheda: definizione + esempio + errore tipico.
- Allenati con domande simili e controlla se la tua sicurezza cresce quando la spiegazione è chiara.</t>
        </is>
      </c>
      <c r="G11" s="3" t="inlineStr">
        <is>
          <t>[Sufficiente (basi presenti, da stabilizzare) — Buona consapevolezza (discrimini abbastanza bene)]
Sufficiente con buona consapevolezza: in generale distingui bene tra certezze e dubbi. Continua così e colma le lacune più mirate.
Azioni consigliate:
- Individua 2 argomenti dove eri incerto e costruisci una scheda: definizione + esempio + errore tipico.
- Allenati con domande simili e controlla se la tua sicurezza cresce quando la spiegazione è chiara.</t>
        </is>
      </c>
      <c r="H11" s="3" t="inlineStr">
        <is>
          <t>[Sufficiente (basi presenti, da stabilizzare) — Consapevolezza alta (calibrazione molto buona)]
Sufficiente con calibrazione ottima: sai riconoscere bene quando sei affidabile. Il prossimo passo è allargare la base di conoscenza per salire di livello.
Azioni consigliate:
- Mantieni la strategia: prima ragionamento, poi scelta della sicurezza (non il contrario).
- Prova esercizi di trasferimento (nuovi contesti): se resti calibrato anche lì, hai davvero consolidato.</t>
        </is>
      </c>
      <c r="I11" s="3" t="inlineStr">
        <is>
          <t>[Sufficiente (basi presenti, da stabilizzare) — Consapevolezza alta (calibrazione molto buona)]
Sufficiente con calibrazione ottima: sai riconoscere bene quando sei affidabile. Il prossimo passo è allargare la base di conoscenza per salire di livello.
Azioni consigliate:
- Mantieni la strategia: prima ragionamento, poi scelta della sicurezza (non il contrario).
- Prova esercizi di trasferimento (nuovi contesti): se resti calibrato anche lì, hai davvero consolidato.</t>
        </is>
      </c>
    </row>
    <row r="12" ht="115" customHeight="1">
      <c r="A12" s="2" t="n">
        <v>6</v>
      </c>
      <c r="B12" s="2" t="n">
        <v>60</v>
      </c>
      <c r="C12" s="3" t="inlineStr">
        <is>
          <t>[Sufficiente (basi presenti, da stabilizzare) — Rischio di false certezze (sicurezza incoerente)]
Sei al limite, ma la sicurezza non è coerente: alcune risposte sembrano 'spari' o convinzioni sbagliate. Rivedi soprattutto i punti dove eri molto sicuro e hai sbagliato.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2" s="3" t="inlineStr">
        <is>
          <t>[Sufficiente (basi presenti, da stabilizzare) — Rischio di false certezze (sicurezza incoerente)]
Sei al limite, ma la sicurezza non è coerente: alcune risposte sembrano 'spari' o convinzioni sbagliate. Rivedi soprattutto i punti dove eri molto sicuro e hai sbagliato.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2" s="3" t="inlineStr">
        <is>
          <t>[Sufficiente (basi presenti, da stabilizzare) — Consapevolezza minima (prudenza / poca discriminazione)]
Sufficiente, ma con sicurezza minima: spesso hai risposto giusto senza esserne convinto. Allenati a motivare le risposte: «come lo dimostro?»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2" s="3" t="inlineStr">
        <is>
          <t>[Sufficiente (basi presenti, da stabilizzare) — Buona consapevolezza (discrimini abbastanza bene)]
Sufficiente con buona consapevolezza: in generale distingui bene tra certezze e dubbi. Continua così e colma le lacune più mirate.
Azioni consigliate:
- Individua 2 argomenti dove eri incerto e costruisci una scheda: definizione + esempio + errore tipico.
- Allenati con domande simili e controlla se la tua sicurezza cresce quando la spiegazione è chiara.</t>
        </is>
      </c>
      <c r="G12" s="3" t="inlineStr">
        <is>
          <t>[Sufficiente (basi presenti, da stabilizzare) — Buona consapevolezza (discrimini abbastanza bene)]
Sufficiente con buona consapevolezza: in generale distingui bene tra certezze e dubbi. Continua così e colma le lacune più mirate.
Azioni consigliate:
- Individua 2 argomenti dove eri incerto e costruisci una scheda: definizione + esempio + errore tipico.
- Allenati con domande simili e controlla se la tua sicurezza cresce quando la spiegazione è chiara.</t>
        </is>
      </c>
      <c r="H12" s="3" t="inlineStr">
        <is>
          <t>[Sufficiente (basi presenti, da stabilizzare) — Consapevolezza alta (calibrazione molto buona)]
Sufficiente con calibrazione ottima: sai riconoscere bene quando sei affidabile. Il prossimo passo è allargare la base di conoscenza per salire di livello.
Azioni consigliate:
- Mantieni la strategia: prima ragionamento, poi scelta della sicurezza (non il contrario).
- Prova esercizi di trasferimento (nuovi contesti): se resti calibrato anche lì, hai davvero consolidato.</t>
        </is>
      </c>
      <c r="I12" s="3" t="inlineStr">
        <is>
          <t>[Sufficiente (basi presenti, da stabilizzare) — Consapevolezza alta (calibrazione molto buona)]
Sufficiente con calibrazione ottima: sai riconoscere bene quando sei affidabile. Il prossimo passo è allargare la base di conoscenza per salire di livello.
Azioni consigliate:
- Mantieni la strategia: prima ragionamento, poi scelta della sicurezza (non il contrario).
- Prova esercizi di trasferimento (nuovi contesti): se resti calibrato anche lì, hai davvero consolidato.</t>
        </is>
      </c>
    </row>
    <row r="13" ht="115" customHeight="1">
      <c r="A13" s="2" t="n">
        <v>6.5</v>
      </c>
      <c r="B13" s="2" t="n">
        <v>65</v>
      </c>
      <c r="C13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3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3" s="3" t="inlineStr">
        <is>
          <t>[Buono (competenza in crescita) — Consapevolezza minima (prudenza / poca discriminazione)]
Buono, ma un po' ‘freno a mano’: molte risposte corrette con poca sicurezza. Possibile sottostima: prova a spiegarti ad alta voce perché la risposta è giusta.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3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G13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H13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  <c r="I13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</row>
    <row r="14" ht="115" customHeight="1">
      <c r="A14" s="2" t="n">
        <v>7</v>
      </c>
      <c r="B14" s="2" t="n">
        <v>70</v>
      </c>
      <c r="C14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4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4" s="3" t="inlineStr">
        <is>
          <t>[Buono (competenza in crescita) — Consapevolezza minima (prudenza / poca discriminazione)]
Buono, ma un po' ‘freno a mano’: molte risposte corrette con poca sicurezza. Possibile sottostima: prova a spiegarti ad alta voce perché la risposta è giusta.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4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G14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H14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  <c r="I14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</row>
    <row r="15" ht="115" customHeight="1">
      <c r="A15" s="2" t="n">
        <v>7.5</v>
      </c>
      <c r="B15" s="2" t="n">
        <v>75</v>
      </c>
      <c r="C15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5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5" s="3" t="inlineStr">
        <is>
          <t>[Buono (competenza in crescita) — Consapevolezza minima (prudenza / poca discriminazione)]
Buono, ma un po' ‘freno a mano’: molte risposte corrette con poca sicurezza. Possibile sottostima: prova a spiegarti ad alta voce perché la risposta è giusta.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5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G15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H15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  <c r="I15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</row>
    <row r="16" ht="115" customHeight="1">
      <c r="A16" s="2" t="n">
        <v>8</v>
      </c>
      <c r="B16" s="2" t="n">
        <v>80</v>
      </c>
      <c r="C16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6" s="3" t="inlineStr">
        <is>
          <t>[Buono (competenza in crescita) — Possibili misconcezioni (errori con alta sicurezza)]
Buon numero di risposte giuste, ma sicurezza spesso incoerente: possibile qualche misconcezione. Focalizzati sugli errori fatti con alta sicurezza e ricostruisci il ragionamento.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6" s="3" t="inlineStr">
        <is>
          <t>[Buono (competenza in crescita) — Consapevolezza minima (prudenza / poca discriminazione)]
Buono, ma un po' ‘freno a mano’: molte risposte corrette con poca sicurezza. Possibile sottostima: prova a spiegarti ad alta voce perché la risposta è giusta.
Azioni consigliate:
- Per 3 risposte corrette a scelta, scrivi una mini-giustificazione: «perché è vera?» (massimo 2 righe).
- Nel prossimo quiz, evita di mettere sempre la stessa sicurezza: prova a differenziare (almeno 2 livelli diversi).</t>
        </is>
      </c>
      <c r="F16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G16" s="3" t="inlineStr">
        <is>
          <t>[Buono (competenza in crescita) — Buona consapevolezza (discrimini abbastanza bene)]
Buon risultato e consapevolezza adeguata: quando eri sicuro, in genere avevi ragione. Usa il dubbio come strumento per migliorare, non come blocco.
Azioni consigliate:
- Individua 2 argomenti dove eri incerto e costruisci una scheda: definizione + esempio + errore tipico.
- Allenati con domande simili e controlla se la tua sicurezza cresce quando la spiegazione è chiara.</t>
        </is>
      </c>
      <c r="H16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  <c r="I16" s="3" t="inlineStr">
        <is>
          <t>[Buono (competenza in crescita) — Consapevolezza alta (calibrazione molto buona)]
Buon risultato con ottima consapevolezza: sai bene dove sei affidabile e dove no. Perfetto per uno studio mirato e per fare il salto verso l’eccellenza.
Azioni consigliate:
- Mantieni la strategia: prima ragionamento, poi scelta della sicurezza (non il contrario).
- Prova esercizi di trasferimento (nuovi contesti): se resti calibrato anche lì, hai davvero consolidato.</t>
        </is>
      </c>
    </row>
    <row r="17" ht="115" customHeight="1">
      <c r="A17" s="2" t="n">
        <v>8.5</v>
      </c>
      <c r="B17" s="2" t="n">
        <v>85</v>
      </c>
      <c r="C17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7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7" s="3" t="inlineStr">
        <is>
          <t>[Ottimo/Eccellente (padronanza alta) — Prestazione alta con prudenza (possibile sottostima)]
Risultato alto, ma molta prudenza: forse ti sottovaluti (o sei troppo severo con te stesso). Quando hai ragione, concediti un po’ di fiducia.
Azioni consigliate:
- Hai le conoscenze: prova a fidarti di più quando il ragionamento è solido (spiega a te stesso il perché).
- Perfeziona con 3 esercizi più difficili o con nuovi esempi: l'obiettivo è restare calibrato.</t>
        </is>
      </c>
      <c r="F17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G17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H17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  <c r="I17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</row>
    <row r="18" ht="115" customHeight="1">
      <c r="A18" s="2" t="n">
        <v>9</v>
      </c>
      <c r="B18" s="2" t="n">
        <v>90</v>
      </c>
      <c r="C18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8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8" s="3" t="inlineStr">
        <is>
          <t>[Ottimo/Eccellente (padronanza alta) — Prestazione alta con prudenza (possibile sottostima)]
Risultato alto, ma molta prudenza: forse ti sottovaluti (o sei troppo severo con te stesso). Quando hai ragione, concediti un po’ di fiducia.
Azioni consigliate:
- Hai le conoscenze: prova a fidarti di più quando il ragionamento è solido (spiega a te stesso il perché).
- Perfeziona con 3 esercizi più difficili o con nuovi esempi: l'obiettivo è restare calibrato.</t>
        </is>
      </c>
      <c r="F18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G18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H18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  <c r="I18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</row>
    <row r="19" ht="115" customHeight="1">
      <c r="A19" s="2" t="n">
        <v>9.5</v>
      </c>
      <c r="B19" s="2" t="n">
        <v>95</v>
      </c>
      <c r="C19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19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19" s="3" t="inlineStr">
        <is>
          <t>[Ottimo/Eccellente (padronanza alta) — Prestazione alta con prudenza (possibile sottostima)]
Risultato alto, ma molta prudenza: forse ti sottovaluti (o sei troppo severo con te stesso). Quando hai ragione, concediti un po’ di fiducia.
Azioni consigliate:
- Hai le conoscenze: prova a fidarti di più quando il ragionamento è solido (spiega a te stesso il perché).
- Perfeziona con 3 esercizi più difficili o con nuovi esempi: l'obiettivo è restare calibrato.</t>
        </is>
      </c>
      <c r="F19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G19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H19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  <c r="I19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</row>
    <row r="20" ht="115" customHeight="1">
      <c r="A20" s="2" t="n">
        <v>10</v>
      </c>
      <c r="B20" s="2" t="n">
        <v>100</v>
      </c>
      <c r="C20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D20" s="3" t="inlineStr">
        <is>
          <t>[Ottimo/Eccellente (padronanza alta) — Possibili misconcezioni (errori con alta sicurezza)]
Preparazione alta, ma sicurezza non sempre allineata: qualche ‘certezza sbagliata’ può farti inciampare. Controlla gli errori fatti con alta sicurezza e chiarisci i concetti.
Azioni consigliate:
- Rivedi le domande sbagliate in cui eri molto sicuro: riscrivi il ragionamento corretto (2-3 righe).
- Fai 5 esercizi mirati sugli stessi concetti e, per ogni risposta, motiva il perché prima di scegliere la sicurezza.</t>
        </is>
      </c>
      <c r="E20" s="3" t="inlineStr">
        <is>
          <t>[Ottimo/Eccellente (padronanza alta) — Prestazione alta con prudenza (possibile sottostima)]
Risultato alto, ma molta prudenza: forse ti sottovaluti (o sei troppo severo con te stesso). Quando hai ragione, concediti un po’ di fiducia.
Azioni consigliate:
- Hai le conoscenze: prova a fidarti di più quando il ragionamento è solido (spiega a te stesso il perché).
- Perfeziona con 3 esercizi più difficili o con nuovi esempi: l'obiettivo è restare calibrato.</t>
        </is>
      </c>
      <c r="F20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G20" s="3" t="inlineStr">
        <is>
          <t>[Ottimo/Eccellente (padronanza alta) — Prestazione alta con prudenza (possibile sottostima)]
Ottimo: alta accuratezza e buona calibrazione. Stai usando bene la sicurezza come indicatore di affidabilità delle tue risposte.
Azioni consigliate:
- Hai le conoscenze: prova a fidarti di più quando il ragionamento è solido (spiega a te stesso il perché).
- Perfeziona con 3 esercizi più difficili o con nuovi esempi: l'obiettivo è restare calibrato.</t>
        </is>
      </c>
      <c r="H20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  <c r="I20" s="3" t="inlineStr">
        <is>
          <t>[Ottimo/Eccellente (padronanza alta) — Consapevolezza alta (calibrazione molto buona)]
Eccellente: sei accurato e molto consapevole. Quando dici «sono sicuro», di solito puoi anche spiegare il perché: questo è l’obiettivo CBM.
Azioni consigliate:
- Sfida extra: spiega un concetto a un compagno (o in un audio di 1 minuto) senza guardare appunti.
- Cerca 1 caso 'tranello' (errore tipico) e scrivi come riconoscerlo: diventi immune alle misconcezioni.</t>
        </is>
      </c>
    </row>
    <row r="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8" customWidth="1" min="4" max="4"/>
    <col width="18" customWidth="1" min="5" max="5"/>
    <col width="60" customWidth="1" min="6" max="6"/>
    <col width="12" customWidth="1" min="7" max="7"/>
    <col width="45" customWidth="1" min="8" max="8"/>
    <col width="55" customWidth="1" min="9" max="9"/>
    <col width="55" customWidth="1" min="10" max="10"/>
  </cols>
  <sheetData>
    <row r="1">
      <c r="A1" s="1" t="inlineStr">
        <is>
          <t>A_vote</t>
        </is>
      </c>
      <c r="B1" s="1" t="inlineStr">
        <is>
          <t>A_%</t>
        </is>
      </c>
      <c r="C1" s="1" t="inlineStr">
        <is>
          <t>Livello</t>
        </is>
      </c>
      <c r="D1" s="1" t="inlineStr">
        <is>
          <t>Codice</t>
        </is>
      </c>
      <c r="E1" s="1" t="inlineStr">
        <is>
          <t>CBM_%_rappresentativo</t>
        </is>
      </c>
      <c r="F1" s="1" t="inlineStr">
        <is>
          <t>Feedback</t>
        </is>
      </c>
      <c r="G1" s="1" t="inlineStr">
        <is>
          <t>Distanza</t>
        </is>
      </c>
      <c r="H1" s="11" t="inlineStr">
        <is>
          <t>Etichetta</t>
        </is>
      </c>
      <c r="I1" s="11" t="inlineStr">
        <is>
          <t>Azione 1</t>
        </is>
      </c>
      <c r="J1" s="11" t="inlineStr">
        <is>
          <t>Azione 2</t>
        </is>
      </c>
    </row>
    <row r="2">
      <c r="A2" s="2" t="n">
        <v>1</v>
      </c>
      <c r="B2" s="2" t="n">
        <v>10</v>
      </c>
      <c r="C2" s="4" t="inlineStr">
        <is>
          <t>Molto sotto spezzata</t>
        </is>
      </c>
      <c r="D2" s="2" t="inlineStr">
        <is>
          <t>VBL</t>
        </is>
      </c>
      <c r="E2" s="2" t="n">
        <v>3.4</v>
      </c>
      <c r="F2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2" s="2">
        <f>SQRT(($Lookup.$B$4*(B2-$Lookup.$B$2))^2 + (E2-$Lookup.$B$3)^2)</f>
        <v/>
      </c>
      <c r="H2" s="3" t="inlineStr">
        <is>
          <t>Recupero (basi da consolidare) — Disorientamento + false certezze (priorità: ripasso guidato)</t>
        </is>
      </c>
      <c r="I2" s="3" t="inlineStr">
        <is>
          <t>Ripassa i concetti base (10 minuti) e rifai le domande sbagliate spiegandole ad alta voce.</t>
        </is>
      </c>
      <c r="J2" s="3" t="inlineStr">
        <is>
          <t>Quando ti senti 'sicuro', fermati e verifica con un esempio: evita certezze senza prova.</t>
        </is>
      </c>
    </row>
    <row r="3">
      <c r="A3" s="2" t="n">
        <v>1</v>
      </c>
      <c r="B3" s="2" t="n">
        <v>10</v>
      </c>
      <c r="C3" s="4" t="inlineStr">
        <is>
          <t>Sotto spezzata</t>
        </is>
      </c>
      <c r="D3" s="2" t="inlineStr">
        <is>
          <t>BL</t>
        </is>
      </c>
      <c r="E3" s="2" t="n">
        <v>6.7</v>
      </c>
      <c r="F3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3" s="2">
        <f>SQRT(($Lookup.$B$4*(B3-$Lookup.$B$2))^2 + (E3-$Lookup.$B$3)^2)</f>
        <v/>
      </c>
      <c r="H3" s="3" t="inlineStr">
        <is>
          <t>Recupero (basi da consolidare) — Disorientamento + false certezze (priorità: ripasso guidato)</t>
        </is>
      </c>
      <c r="I3" s="3" t="inlineStr">
        <is>
          <t>Ripassa i concetti base (10 minuti) e rifai le domande sbagliate spiegandole ad alta voce.</t>
        </is>
      </c>
      <c r="J3" s="3" t="inlineStr">
        <is>
          <t>Quando ti senti 'sicuro', fermati e verifica con un esempio: evita certezze senza prova.</t>
        </is>
      </c>
    </row>
    <row r="4">
      <c r="A4" s="2" t="n">
        <v>1</v>
      </c>
      <c r="B4" s="2" t="n">
        <v>10</v>
      </c>
      <c r="C4" s="4" t="inlineStr">
        <is>
          <t>Sulla spezzata</t>
        </is>
      </c>
      <c r="D4" s="2" t="inlineStr">
        <is>
          <t>S</t>
        </is>
      </c>
      <c r="E4" s="2" t="n">
        <v>10</v>
      </c>
      <c r="F4" s="3" t="inlineStr">
        <is>
          <t>Risultato ancora sotto la sufficienza, ma la prudenza è coerente: sai quando non sei sicuro. Buon segnale—ora serve consolidare i fondamentali con studio mirato.</t>
        </is>
      </c>
      <c r="G4" s="2">
        <f>SQRT(($Lookup.$B$4*(B4-$Lookup.$B$2))^2 + (E4-$Lookup.$B$3)^2)</f>
        <v/>
      </c>
      <c r="H4" s="3" t="inlineStr">
        <is>
          <t>Recupero (basi da consolidare) — Consapevolezza minima (prudenza / poca discriminazione)</t>
        </is>
      </c>
      <c r="I4" s="3" t="inlineStr">
        <is>
          <t>Ripassa i concetti base (10 minuti) e rifai le domande sbagliate spiegandole ad alta voce.</t>
        </is>
      </c>
      <c r="J4" s="3" t="inlineStr">
        <is>
          <t>Usa una lista 'so / non so': è meglio dichiarare dubbio e poi studiare mirato.</t>
        </is>
      </c>
    </row>
    <row r="5">
      <c r="A5" s="2" t="n">
        <v>1</v>
      </c>
      <c r="B5" s="2" t="n">
        <v>10</v>
      </c>
      <c r="C5" s="4" t="inlineStr">
        <is>
          <t>Sopra spezzata</t>
        </is>
      </c>
      <c r="D5" s="2" t="inlineStr">
        <is>
          <t>AB</t>
        </is>
      </c>
      <c r="E5" s="2" t="n">
        <v>16.6</v>
      </c>
      <c r="F5" s="3" t="inlineStr">
        <is>
          <t>Conoscenza ancora debole, però stai stimando abbastanza bene la tua sicurezza: buona consapevolezza. Usa questo dato per studiare meglio: priorità agli errori più frequenti.</t>
        </is>
      </c>
      <c r="G5" s="2">
        <f>SQRT(($Lookup.$B$4*(B5-$Lookup.$B$2))^2 + (E5-$Lookup.$B$3)^2)</f>
        <v/>
      </c>
      <c r="H5" s="3" t="inlineStr">
        <is>
          <t>Recupero (basi da consolidare) — Buona consapevolezza (discrimini abbastanza bene)</t>
        </is>
      </c>
      <c r="I5" s="3" t="inlineStr">
        <is>
          <t>Ripassa i concetti base (10 minuti) e rifai le domande sbagliate spiegandole ad alta voce.</t>
        </is>
      </c>
      <c r="J5" s="3" t="inlineStr">
        <is>
          <t>Usa una lista 'so / non so': è meglio dichiarare dubbio e poi studiare mirato.</t>
        </is>
      </c>
    </row>
    <row r="6">
      <c r="A6" s="2" t="n">
        <v>1</v>
      </c>
      <c r="B6" s="2" t="n">
        <v>10</v>
      </c>
      <c r="C6" s="4" t="inlineStr">
        <is>
          <t>Molto sopra spezzata</t>
        </is>
      </c>
      <c r="D6" s="2" t="inlineStr">
        <is>
          <t>VAB</t>
        </is>
      </c>
      <c r="E6" s="2" t="n">
        <v>23.2</v>
      </c>
      <c r="F6" s="3" t="inlineStr">
        <is>
          <t>Conoscenza ancora debole, però stai stimando abbastanza bene la tua sicurezza: buona consapevolezza. Usa questo dato per studiare meglio: priorità agli errori più frequenti.</t>
        </is>
      </c>
      <c r="G6" s="2">
        <f>SQRT(($Lookup.$B$4*(B6-$Lookup.$B$2))^2 + (E6-$Lookup.$B$3)^2)</f>
        <v/>
      </c>
      <c r="H6" s="3" t="inlineStr">
        <is>
          <t>Recupero (basi da consolidare) — Buona consapevolezza (discrimini abbastanza bene)</t>
        </is>
      </c>
      <c r="I6" s="3" t="inlineStr">
        <is>
          <t>Ripassa i concetti base (10 minuti) e rifai le domande sbagliate spiegandole ad alta voce.</t>
        </is>
      </c>
      <c r="J6" s="3" t="inlineStr">
        <is>
          <t>Usa una lista 'so / non so': è meglio dichiarare dubbio e poi studiare mirato.</t>
        </is>
      </c>
    </row>
    <row r="7">
      <c r="A7" s="2" t="n">
        <v>1</v>
      </c>
      <c r="B7" s="2" t="n">
        <v>10</v>
      </c>
      <c r="C7" s="4" t="inlineStr">
        <is>
          <t>Quasi sulla retta</t>
        </is>
      </c>
      <c r="D7" s="2" t="inlineStr">
        <is>
          <t>NI</t>
        </is>
      </c>
      <c r="E7" s="2" t="n">
        <v>28</v>
      </c>
      <c r="F7" s="3" t="inlineStr">
        <is>
          <t>Anche se il punteggio è basso, la tua calibrazione è ottima: distingui bene ciò che sai da ciò che non sai. Ottimo punto di partenza per recuperare rapidamente.</t>
        </is>
      </c>
      <c r="G7" s="2">
        <f>SQRT(($Lookup.$B$4*(B7-$Lookup.$B$2))^2 + (E7-$Lookup.$B$3)^2)</f>
        <v/>
      </c>
      <c r="H7" s="3" t="inlineStr">
        <is>
          <t>Recupero (basi da consolidare) — Consapevolezza alta (calibrazione molto buona)</t>
        </is>
      </c>
      <c r="I7" s="3" t="inlineStr">
        <is>
          <t>Ripassa i concetti base (10 minuti) e rifai le domande sbagliate spiegandole ad alta voce.</t>
        </is>
      </c>
      <c r="J7" s="3" t="inlineStr">
        <is>
          <t>Usa una lista 'so / non so': è meglio dichiarare dubbio e poi studiare mirato.</t>
        </is>
      </c>
    </row>
    <row r="8">
      <c r="A8" s="2" t="n">
        <v>1</v>
      </c>
      <c r="B8" s="2" t="n">
        <v>10</v>
      </c>
      <c r="C8" s="4" t="inlineStr">
        <is>
          <t>Sulla retta (ideale)</t>
        </is>
      </c>
      <c r="D8" s="2" t="inlineStr">
        <is>
          <t>I</t>
        </is>
      </c>
      <c r="E8" s="2" t="n">
        <v>30</v>
      </c>
      <c r="F8" s="3" t="inlineStr">
        <is>
          <t>Anche se il punteggio è basso, la tua calibrazione è ottima: distingui bene ciò che sai da ciò che non sai. Ottimo punto di partenza per recuperare rapidamente.</t>
        </is>
      </c>
      <c r="G8" s="2">
        <f>SQRT(($Lookup.$B$4*(B8-$Lookup.$B$2))^2 + (E8-$Lookup.$B$3)^2)</f>
        <v/>
      </c>
      <c r="H8" s="3" t="inlineStr">
        <is>
          <t>Recupero (basi da consolidare) — Consapevolezza alta (calibrazione molto buona)</t>
        </is>
      </c>
      <c r="I8" s="3" t="inlineStr">
        <is>
          <t>Ripassa i concetti base (10 minuti) e rifai le domande sbagliate spiegandole ad alta voce.</t>
        </is>
      </c>
      <c r="J8" s="3" t="inlineStr">
        <is>
          <t>Usa una lista 'so / non so': è meglio dichiarare dubbio e poi studiare mirato.</t>
        </is>
      </c>
    </row>
    <row r="9">
      <c r="A9" s="2" t="n">
        <v>1.5</v>
      </c>
      <c r="B9" s="2" t="n">
        <v>15</v>
      </c>
      <c r="C9" s="4" t="inlineStr">
        <is>
          <t>Molto sotto spezzata</t>
        </is>
      </c>
      <c r="D9" s="2" t="inlineStr">
        <is>
          <t>VBL</t>
        </is>
      </c>
      <c r="E9" s="2" t="n">
        <v>5.1</v>
      </c>
      <c r="F9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9" s="2">
        <f>SQRT(($Lookup.$B$4*(B9-$Lookup.$B$2))^2 + (E9-$Lookup.$B$3)^2)</f>
        <v/>
      </c>
      <c r="H9" s="3" t="inlineStr">
        <is>
          <t>Recupero (basi da consolidare) — Disorientamento + false certezze (priorità: ripasso guidato)</t>
        </is>
      </c>
      <c r="I9" s="3" t="inlineStr">
        <is>
          <t>Ripassa i concetti base (10 minuti) e rifai le domande sbagliate spiegandole ad alta voce.</t>
        </is>
      </c>
      <c r="J9" s="3" t="inlineStr">
        <is>
          <t>Quando ti senti 'sicuro', fermati e verifica con un esempio: evita certezze senza prova.</t>
        </is>
      </c>
    </row>
    <row r="10">
      <c r="A10" s="2" t="n">
        <v>1.5</v>
      </c>
      <c r="B10" s="2" t="n">
        <v>15</v>
      </c>
      <c r="C10" s="4" t="inlineStr">
        <is>
          <t>Sotto spezzata</t>
        </is>
      </c>
      <c r="D10" s="2" t="inlineStr">
        <is>
          <t>BL</t>
        </is>
      </c>
      <c r="E10" s="2" t="n">
        <v>10.05</v>
      </c>
      <c r="F10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10" s="2">
        <f>SQRT(($Lookup.$B$4*(B10-$Lookup.$B$2))^2 + (E10-$Lookup.$B$3)^2)</f>
        <v/>
      </c>
      <c r="H10" s="3" t="inlineStr">
        <is>
          <t>Recupero (basi da consolidare) — Disorientamento + false certezze (priorità: ripasso guidato)</t>
        </is>
      </c>
      <c r="I10" s="3" t="inlineStr">
        <is>
          <t>Ripassa i concetti base (10 minuti) e rifai le domande sbagliate spiegandole ad alta voce.</t>
        </is>
      </c>
      <c r="J10" s="3" t="inlineStr">
        <is>
          <t>Quando ti senti 'sicuro', fermati e verifica con un esempio: evita certezze senza prova.</t>
        </is>
      </c>
    </row>
    <row r="11">
      <c r="A11" s="2" t="n">
        <v>1.5</v>
      </c>
      <c r="B11" s="2" t="n">
        <v>15</v>
      </c>
      <c r="C11" s="4" t="inlineStr">
        <is>
          <t>Sulla spezzata</t>
        </is>
      </c>
      <c r="D11" s="2" t="inlineStr">
        <is>
          <t>S</t>
        </is>
      </c>
      <c r="E11" s="2" t="n">
        <v>15</v>
      </c>
      <c r="F11" s="3" t="inlineStr">
        <is>
          <t>Risultato ancora sotto la sufficienza, ma la prudenza è coerente: sai quando non sei sicuro. Buon segnale—ora serve consolidare i fondamentali con studio mirato.</t>
        </is>
      </c>
      <c r="G11" s="2">
        <f>SQRT(($Lookup.$B$4*(B11-$Lookup.$B$2))^2 + (E11-$Lookup.$B$3)^2)</f>
        <v/>
      </c>
      <c r="H11" s="3" t="inlineStr">
        <is>
          <t>Recupero (basi da consolidare) — Consapevolezza minima (prudenza / poca discriminazione)</t>
        </is>
      </c>
      <c r="I11" s="3" t="inlineStr">
        <is>
          <t>Ripassa i concetti base (10 minuti) e rifai le domande sbagliate spiegandole ad alta voce.</t>
        </is>
      </c>
      <c r="J11" s="3" t="inlineStr">
        <is>
          <t>Usa una lista 'so / non so': è meglio dichiarare dubbio e poi studiare mirato.</t>
        </is>
      </c>
    </row>
    <row r="12">
      <c r="A12" s="2" t="n">
        <v>1.5</v>
      </c>
      <c r="B12" s="2" t="n">
        <v>15</v>
      </c>
      <c r="C12" s="4" t="inlineStr">
        <is>
          <t>Sopra spezzata</t>
        </is>
      </c>
      <c r="D12" s="2" t="inlineStr">
        <is>
          <t>AB</t>
        </is>
      </c>
      <c r="E12" s="2" t="n">
        <v>24.9</v>
      </c>
      <c r="F12" s="3" t="inlineStr">
        <is>
          <t>Conoscenza ancora debole, però stai stimando abbastanza bene la tua sicurezza: buona consapevolezza. Usa questo dato per studiare meglio: priorità agli errori più frequenti.</t>
        </is>
      </c>
      <c r="G12" s="2">
        <f>SQRT(($Lookup.$B$4*(B12-$Lookup.$B$2))^2 + (E12-$Lookup.$B$3)^2)</f>
        <v/>
      </c>
      <c r="H12" s="3" t="inlineStr">
        <is>
          <t>Recupero (basi da consolidare) — Buona consapevolezza (discrimini abbastanza bene)</t>
        </is>
      </c>
      <c r="I12" s="3" t="inlineStr">
        <is>
          <t>Ripassa i concetti base (10 minuti) e rifai le domande sbagliate spiegandole ad alta voce.</t>
        </is>
      </c>
      <c r="J12" s="3" t="inlineStr">
        <is>
          <t>Usa una lista 'so / non so': è meglio dichiarare dubbio e poi studiare mirato.</t>
        </is>
      </c>
    </row>
    <row r="13">
      <c r="A13" s="2" t="n">
        <v>1.5</v>
      </c>
      <c r="B13" s="2" t="n">
        <v>15</v>
      </c>
      <c r="C13" s="4" t="inlineStr">
        <is>
          <t>Molto sopra spezzata</t>
        </is>
      </c>
      <c r="D13" s="2" t="inlineStr">
        <is>
          <t>VAB</t>
        </is>
      </c>
      <c r="E13" s="2" t="n">
        <v>34.8</v>
      </c>
      <c r="F13" s="3" t="inlineStr">
        <is>
          <t>Conoscenza ancora debole, però stai stimando abbastanza bene la tua sicurezza: buona consapevolezza. Usa questo dato per studiare meglio: priorità agli errori più frequenti.</t>
        </is>
      </c>
      <c r="G13" s="2">
        <f>SQRT(($Lookup.$B$4*(B13-$Lookup.$B$2))^2 + (E13-$Lookup.$B$3)^2)</f>
        <v/>
      </c>
      <c r="H13" s="3" t="inlineStr">
        <is>
          <t>Recupero (basi da consolidare) — Buona consapevolezza (discrimini abbastanza bene)</t>
        </is>
      </c>
      <c r="I13" s="3" t="inlineStr">
        <is>
          <t>Ripassa i concetti base (10 minuti) e rifai le domande sbagliate spiegandole ad alta voce.</t>
        </is>
      </c>
      <c r="J13" s="3" t="inlineStr">
        <is>
          <t>Usa una lista 'so / non so': è meglio dichiarare dubbio e poi studiare mirato.</t>
        </is>
      </c>
    </row>
    <row r="14">
      <c r="A14" s="2" t="n">
        <v>1.5</v>
      </c>
      <c r="B14" s="2" t="n">
        <v>15</v>
      </c>
      <c r="C14" s="4" t="inlineStr">
        <is>
          <t>Quasi sulla retta</t>
        </is>
      </c>
      <c r="D14" s="2" t="inlineStr">
        <is>
          <t>NI</t>
        </is>
      </c>
      <c r="E14" s="2" t="n">
        <v>42</v>
      </c>
      <c r="F14" s="3" t="inlineStr">
        <is>
          <t>Anche se il punteggio è basso, la tua calibrazione è ottima: distingui bene ciò che sai da ciò che non sai. Ottimo punto di partenza per recuperare rapidamente.</t>
        </is>
      </c>
      <c r="G14" s="2">
        <f>SQRT(($Lookup.$B$4*(B14-$Lookup.$B$2))^2 + (E14-$Lookup.$B$3)^2)</f>
        <v/>
      </c>
      <c r="H14" s="3" t="inlineStr">
        <is>
          <t>Recupero (basi da consolidare) — Consapevolezza alta (calibrazione molto buona)</t>
        </is>
      </c>
      <c r="I14" s="3" t="inlineStr">
        <is>
          <t>Ripassa i concetti base (10 minuti) e rifai le domande sbagliate spiegandole ad alta voce.</t>
        </is>
      </c>
      <c r="J14" s="3" t="inlineStr">
        <is>
          <t>Usa una lista 'so / non so': è meglio dichiarare dubbio e poi studiare mirato.</t>
        </is>
      </c>
    </row>
    <row r="15">
      <c r="A15" s="2" t="n">
        <v>1.5</v>
      </c>
      <c r="B15" s="2" t="n">
        <v>15</v>
      </c>
      <c r="C15" s="4" t="inlineStr">
        <is>
          <t>Sulla retta (ideale)</t>
        </is>
      </c>
      <c r="D15" s="2" t="inlineStr">
        <is>
          <t>I</t>
        </is>
      </c>
      <c r="E15" s="2" t="n">
        <v>45</v>
      </c>
      <c r="F15" s="3" t="inlineStr">
        <is>
          <t>Anche se il punteggio è basso, la tua calibrazione è ottima: distingui bene ciò che sai da ciò che non sai. Ottimo punto di partenza per recuperare rapidamente.</t>
        </is>
      </c>
      <c r="G15" s="2">
        <f>SQRT(($Lookup.$B$4*(B15-$Lookup.$B$2))^2 + (E15-$Lookup.$B$3)^2)</f>
        <v/>
      </c>
      <c r="H15" s="3" t="inlineStr">
        <is>
          <t>Recupero (basi da consolidare) — Consapevolezza alta (calibrazione molto buona)</t>
        </is>
      </c>
      <c r="I15" s="3" t="inlineStr">
        <is>
          <t>Ripassa i concetti base (10 minuti) e rifai le domande sbagliate spiegandole ad alta voce.</t>
        </is>
      </c>
      <c r="J15" s="3" t="inlineStr">
        <is>
          <t>Usa una lista 'so / non so': è meglio dichiarare dubbio e poi studiare mirato.</t>
        </is>
      </c>
    </row>
    <row r="16">
      <c r="A16" s="2" t="n">
        <v>2</v>
      </c>
      <c r="B16" s="2" t="n">
        <v>20</v>
      </c>
      <c r="C16" s="4" t="inlineStr">
        <is>
          <t>Molto sotto spezzata</t>
        </is>
      </c>
      <c r="D16" s="2" t="inlineStr">
        <is>
          <t>VBL</t>
        </is>
      </c>
      <c r="E16" s="2" t="n">
        <v>6.8</v>
      </c>
      <c r="F16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16" s="2">
        <f>SQRT(($Lookup.$B$4*(B16-$Lookup.$B$2))^2 + (E16-$Lookup.$B$3)^2)</f>
        <v/>
      </c>
      <c r="H16" s="3" t="inlineStr">
        <is>
          <t>Recupero (basi da consolidare) — Disorientamento + false certezze (priorità: ripasso guidato)</t>
        </is>
      </c>
      <c r="I16" s="3" t="inlineStr">
        <is>
          <t>Ripassa i concetti base (10 minuti) e rifai le domande sbagliate spiegandole ad alta voce.</t>
        </is>
      </c>
      <c r="J16" s="3" t="inlineStr">
        <is>
          <t>Quando ti senti 'sicuro', fermati e verifica con un esempio: evita certezze senza prova.</t>
        </is>
      </c>
    </row>
    <row r="17">
      <c r="A17" s="2" t="n">
        <v>2</v>
      </c>
      <c r="B17" s="2" t="n">
        <v>20</v>
      </c>
      <c r="C17" s="4" t="inlineStr">
        <is>
          <t>Sotto spezzata</t>
        </is>
      </c>
      <c r="D17" s="2" t="inlineStr">
        <is>
          <t>BL</t>
        </is>
      </c>
      <c r="E17" s="2" t="n">
        <v>13.4</v>
      </c>
      <c r="F17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17" s="2">
        <f>SQRT(($Lookup.$B$4*(B17-$Lookup.$B$2))^2 + (E17-$Lookup.$B$3)^2)</f>
        <v/>
      </c>
      <c r="H17" s="3" t="inlineStr">
        <is>
          <t>Recupero (basi da consolidare) — Disorientamento + false certezze (priorità: ripasso guidato)</t>
        </is>
      </c>
      <c r="I17" s="3" t="inlineStr">
        <is>
          <t>Ripassa i concetti base (10 minuti) e rifai le domande sbagliate spiegandole ad alta voce.</t>
        </is>
      </c>
      <c r="J17" s="3" t="inlineStr">
        <is>
          <t>Quando ti senti 'sicuro', fermati e verifica con un esempio: evita certezze senza prova.</t>
        </is>
      </c>
    </row>
    <row r="18">
      <c r="A18" s="2" t="n">
        <v>2</v>
      </c>
      <c r="B18" s="2" t="n">
        <v>20</v>
      </c>
      <c r="C18" s="4" t="inlineStr">
        <is>
          <t>Sulla spezzata</t>
        </is>
      </c>
      <c r="D18" s="2" t="inlineStr">
        <is>
          <t>S</t>
        </is>
      </c>
      <c r="E18" s="2" t="n">
        <v>20</v>
      </c>
      <c r="F18" s="3" t="inlineStr">
        <is>
          <t>Risultato ancora sotto la sufficienza, ma la prudenza è coerente: sai quando non sei sicuro. Buon segnale—ora serve consolidare i fondamentali con studio mirato.</t>
        </is>
      </c>
      <c r="G18" s="2">
        <f>SQRT(($Lookup.$B$4*(B18-$Lookup.$B$2))^2 + (E18-$Lookup.$B$3)^2)</f>
        <v/>
      </c>
      <c r="H18" s="3" t="inlineStr">
        <is>
          <t>Recupero (basi da consolidare) — Consapevolezza minima (prudenza / poca discriminazione)</t>
        </is>
      </c>
      <c r="I18" s="3" t="inlineStr">
        <is>
          <t>Ripassa i concetti base (10 minuti) e rifai le domande sbagliate spiegandole ad alta voce.</t>
        </is>
      </c>
      <c r="J18" s="3" t="inlineStr">
        <is>
          <t>Usa una lista 'so / non so': è meglio dichiarare dubbio e poi studiare mirato.</t>
        </is>
      </c>
    </row>
    <row r="19">
      <c r="A19" s="2" t="n">
        <v>2</v>
      </c>
      <c r="B19" s="2" t="n">
        <v>20</v>
      </c>
      <c r="C19" s="4" t="inlineStr">
        <is>
          <t>Sopra spezzata</t>
        </is>
      </c>
      <c r="D19" s="2" t="inlineStr">
        <is>
          <t>AB</t>
        </is>
      </c>
      <c r="E19" s="2" t="n">
        <v>33.2</v>
      </c>
      <c r="F19" s="3" t="inlineStr">
        <is>
          <t>Conoscenza ancora debole, però stai stimando abbastanza bene la tua sicurezza: buona consapevolezza. Usa questo dato per studiare meglio: priorità agli errori più frequenti.</t>
        </is>
      </c>
      <c r="G19" s="2">
        <f>SQRT(($Lookup.$B$4*(B19-$Lookup.$B$2))^2 + (E19-$Lookup.$B$3)^2)</f>
        <v/>
      </c>
      <c r="H19" s="3" t="inlineStr">
        <is>
          <t>Recupero (basi da consolidare) — Buona consapevolezza (discrimini abbastanza bene)</t>
        </is>
      </c>
      <c r="I19" s="3" t="inlineStr">
        <is>
          <t>Ripassa i concetti base (10 minuti) e rifai le domande sbagliate spiegandole ad alta voce.</t>
        </is>
      </c>
      <c r="J19" s="3" t="inlineStr">
        <is>
          <t>Usa una lista 'so / non so': è meglio dichiarare dubbio e poi studiare mirato.</t>
        </is>
      </c>
    </row>
    <row r="20">
      <c r="A20" s="2" t="n">
        <v>2</v>
      </c>
      <c r="B20" s="2" t="n">
        <v>20</v>
      </c>
      <c r="C20" s="4" t="inlineStr">
        <is>
          <t>Molto sopra spezzata</t>
        </is>
      </c>
      <c r="D20" s="2" t="inlineStr">
        <is>
          <t>VAB</t>
        </is>
      </c>
      <c r="E20" s="2" t="n">
        <v>46.4</v>
      </c>
      <c r="F20" s="3" t="inlineStr">
        <is>
          <t>Conoscenza ancora debole, però stai stimando abbastanza bene la tua sicurezza: buona consapevolezza. Usa questo dato per studiare meglio: priorità agli errori più frequenti.</t>
        </is>
      </c>
      <c r="G20" s="2">
        <f>SQRT(($Lookup.$B$4*(B20-$Lookup.$B$2))^2 + (E20-$Lookup.$B$3)^2)</f>
        <v/>
      </c>
      <c r="H20" s="3" t="inlineStr">
        <is>
          <t>Recupero (basi da consolidare) — Buona consapevolezza (discrimini abbastanza bene)</t>
        </is>
      </c>
      <c r="I20" s="3" t="inlineStr">
        <is>
          <t>Ripassa i concetti base (10 minuti) e rifai le domande sbagliate spiegandole ad alta voce.</t>
        </is>
      </c>
      <c r="J20" s="3" t="inlineStr">
        <is>
          <t>Usa una lista 'so / non so': è meglio dichiarare dubbio e poi studiare mirato.</t>
        </is>
      </c>
    </row>
    <row r="21">
      <c r="A21" s="2" t="n">
        <v>2</v>
      </c>
      <c r="B21" s="2" t="n">
        <v>20</v>
      </c>
      <c r="C21" s="4" t="inlineStr">
        <is>
          <t>Quasi sulla retta</t>
        </is>
      </c>
      <c r="D21" s="2" t="inlineStr">
        <is>
          <t>NI</t>
        </is>
      </c>
      <c r="E21" s="2" t="n">
        <v>56</v>
      </c>
      <c r="F21" s="3" t="inlineStr">
        <is>
          <t>Anche se il punteggio è basso, la tua calibrazione è ottima: distingui bene ciò che sai da ciò che non sai. Ottimo punto di partenza per recuperare rapidamente.</t>
        </is>
      </c>
      <c r="G21" s="2">
        <f>SQRT(($Lookup.$B$4*(B21-$Lookup.$B$2))^2 + (E21-$Lookup.$B$3)^2)</f>
        <v/>
      </c>
      <c r="H21" s="3" t="inlineStr">
        <is>
          <t>Recupero (basi da consolidare) — Consapevolezza alta (calibrazione molto buona)</t>
        </is>
      </c>
      <c r="I21" s="3" t="inlineStr">
        <is>
          <t>Ripassa i concetti base (10 minuti) e rifai le domande sbagliate spiegandole ad alta voce.</t>
        </is>
      </c>
      <c r="J21" s="3" t="inlineStr">
        <is>
          <t>Usa una lista 'so / non so': è meglio dichiarare dubbio e poi studiare mirato.</t>
        </is>
      </c>
    </row>
    <row r="22">
      <c r="A22" s="2" t="n">
        <v>2</v>
      </c>
      <c r="B22" s="2" t="n">
        <v>20</v>
      </c>
      <c r="C22" s="4" t="inlineStr">
        <is>
          <t>Sulla retta (ideale)</t>
        </is>
      </c>
      <c r="D22" s="2" t="inlineStr">
        <is>
          <t>I</t>
        </is>
      </c>
      <c r="E22" s="2" t="n">
        <v>60</v>
      </c>
      <c r="F22" s="3" t="inlineStr">
        <is>
          <t>Anche se il punteggio è basso, la tua calibrazione è ottima: distingui bene ciò che sai da ciò che non sai. Ottimo punto di partenza per recuperare rapidamente.</t>
        </is>
      </c>
      <c r="G22" s="2">
        <f>SQRT(($Lookup.$B$4*(B22-$Lookup.$B$2))^2 + (E22-$Lookup.$B$3)^2)</f>
        <v/>
      </c>
      <c r="H22" s="3" t="inlineStr">
        <is>
          <t>Recupero (basi da consolidare) — Consapevolezza alta (calibrazione molto buona)</t>
        </is>
      </c>
      <c r="I22" s="3" t="inlineStr">
        <is>
          <t>Ripassa i concetti base (10 minuti) e rifai le domande sbagliate spiegandole ad alta voce.</t>
        </is>
      </c>
      <c r="J22" s="3" t="inlineStr">
        <is>
          <t>Usa una lista 'so / non so': è meglio dichiarare dubbio e poi studiare mirato.</t>
        </is>
      </c>
    </row>
    <row r="23">
      <c r="A23" s="2" t="n">
        <v>2.5</v>
      </c>
      <c r="B23" s="2" t="n">
        <v>25</v>
      </c>
      <c r="C23" s="4" t="inlineStr">
        <is>
          <t>Molto sotto spezzata</t>
        </is>
      </c>
      <c r="D23" s="2" t="inlineStr">
        <is>
          <t>VBL</t>
        </is>
      </c>
      <c r="E23" s="2" t="n">
        <v>8.5</v>
      </c>
      <c r="F23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23" s="2">
        <f>SQRT(($Lookup.$B$4*(B23-$Lookup.$B$2))^2 + (E23-$Lookup.$B$3)^2)</f>
        <v/>
      </c>
      <c r="H23" s="3" t="inlineStr">
        <is>
          <t>Recupero (basi da consolidare) — Disorientamento + false certezze (priorità: ripasso guidato)</t>
        </is>
      </c>
      <c r="I23" s="3" t="inlineStr">
        <is>
          <t>Ripassa i concetti base (10 minuti) e rifai le domande sbagliate spiegandole ad alta voce.</t>
        </is>
      </c>
      <c r="J23" s="3" t="inlineStr">
        <is>
          <t>Quando ti senti 'sicuro', fermati e verifica con un esempio: evita certezze senza prova.</t>
        </is>
      </c>
    </row>
    <row r="24">
      <c r="A24" s="2" t="n">
        <v>2.5</v>
      </c>
      <c r="B24" s="2" t="n">
        <v>25</v>
      </c>
      <c r="C24" s="4" t="inlineStr">
        <is>
          <t>Sotto spezzata</t>
        </is>
      </c>
      <c r="D24" s="2" t="inlineStr">
        <is>
          <t>BL</t>
        </is>
      </c>
      <c r="E24" s="2" t="n">
        <v>16.75</v>
      </c>
      <c r="F24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24" s="2">
        <f>SQRT(($Lookup.$B$4*(B24-$Lookup.$B$2))^2 + (E24-$Lookup.$B$3)^2)</f>
        <v/>
      </c>
      <c r="H24" s="3" t="inlineStr">
        <is>
          <t>Recupero (basi da consolidare) — Disorientamento + false certezze (priorità: ripasso guidato)</t>
        </is>
      </c>
      <c r="I24" s="3" t="inlineStr">
        <is>
          <t>Ripassa i concetti base (10 minuti) e rifai le domande sbagliate spiegandole ad alta voce.</t>
        </is>
      </c>
      <c r="J24" s="3" t="inlineStr">
        <is>
          <t>Quando ti senti 'sicuro', fermati e verifica con un esempio: evita certezze senza prova.</t>
        </is>
      </c>
    </row>
    <row r="25">
      <c r="A25" s="2" t="n">
        <v>2.5</v>
      </c>
      <c r="B25" s="2" t="n">
        <v>25</v>
      </c>
      <c r="C25" s="4" t="inlineStr">
        <is>
          <t>Sulla spezzata</t>
        </is>
      </c>
      <c r="D25" s="2" t="inlineStr">
        <is>
          <t>S</t>
        </is>
      </c>
      <c r="E25" s="2" t="n">
        <v>25</v>
      </c>
      <c r="F25" s="3" t="inlineStr">
        <is>
          <t>Risultato ancora sotto la sufficienza, ma la prudenza è coerente: sai quando non sei sicuro. Buon segnale—ora serve consolidare i fondamentali con studio mirato.</t>
        </is>
      </c>
      <c r="G25" s="2">
        <f>SQRT(($Lookup.$B$4*(B25-$Lookup.$B$2))^2 + (E25-$Lookup.$B$3)^2)</f>
        <v/>
      </c>
      <c r="H25" s="3" t="inlineStr">
        <is>
          <t>Recupero (basi da consolidare) — Consapevolezza minima (prudenza / poca discriminazione)</t>
        </is>
      </c>
      <c r="I25" s="3" t="inlineStr">
        <is>
          <t>Ripassa i concetti base (10 minuti) e rifai le domande sbagliate spiegandole ad alta voce.</t>
        </is>
      </c>
      <c r="J25" s="3" t="inlineStr">
        <is>
          <t>Usa una lista 'so / non so': è meglio dichiarare dubbio e poi studiare mirato.</t>
        </is>
      </c>
    </row>
    <row r="26">
      <c r="A26" s="2" t="n">
        <v>2.5</v>
      </c>
      <c r="B26" s="2" t="n">
        <v>25</v>
      </c>
      <c r="C26" s="4" t="inlineStr">
        <is>
          <t>Sopra spezzata</t>
        </is>
      </c>
      <c r="D26" s="2" t="inlineStr">
        <is>
          <t>AB</t>
        </is>
      </c>
      <c r="E26" s="2" t="n">
        <v>41.5</v>
      </c>
      <c r="F26" s="3" t="inlineStr">
        <is>
          <t>Conoscenza ancora debole, però stai stimando abbastanza bene la tua sicurezza: buona consapevolezza. Usa questo dato per studiare meglio: priorità agli errori più frequenti.</t>
        </is>
      </c>
      <c r="G26" s="2">
        <f>SQRT(($Lookup.$B$4*(B26-$Lookup.$B$2))^2 + (E26-$Lookup.$B$3)^2)</f>
        <v/>
      </c>
      <c r="H26" s="3" t="inlineStr">
        <is>
          <t>Recupero (basi da consolidare) — Buona consapevolezza (discrimini abbastanza bene)</t>
        </is>
      </c>
      <c r="I26" s="3" t="inlineStr">
        <is>
          <t>Ripassa i concetti base (10 minuti) e rifai le domande sbagliate spiegandole ad alta voce.</t>
        </is>
      </c>
      <c r="J26" s="3" t="inlineStr">
        <is>
          <t>Usa una lista 'so / non so': è meglio dichiarare dubbio e poi studiare mirato.</t>
        </is>
      </c>
    </row>
    <row r="27">
      <c r="A27" s="2" t="n">
        <v>2.5</v>
      </c>
      <c r="B27" s="2" t="n">
        <v>25</v>
      </c>
      <c r="C27" s="4" t="inlineStr">
        <is>
          <t>Molto sopra spezzata</t>
        </is>
      </c>
      <c r="D27" s="2" t="inlineStr">
        <is>
          <t>VAB</t>
        </is>
      </c>
      <c r="E27" s="2" t="n">
        <v>58</v>
      </c>
      <c r="F27" s="3" t="inlineStr">
        <is>
          <t>Conoscenza ancora debole, però stai stimando abbastanza bene la tua sicurezza: buona consapevolezza. Usa questo dato per studiare meglio: priorità agli errori più frequenti.</t>
        </is>
      </c>
      <c r="G27" s="2">
        <f>SQRT(($Lookup.$B$4*(B27-$Lookup.$B$2))^2 + (E27-$Lookup.$B$3)^2)</f>
        <v/>
      </c>
      <c r="H27" s="3" t="inlineStr">
        <is>
          <t>Recupero (basi da consolidare) — Buona consapevolezza (discrimini abbastanza bene)</t>
        </is>
      </c>
      <c r="I27" s="3" t="inlineStr">
        <is>
          <t>Ripassa i concetti base (10 minuti) e rifai le domande sbagliate spiegandole ad alta voce.</t>
        </is>
      </c>
      <c r="J27" s="3" t="inlineStr">
        <is>
          <t>Usa una lista 'so / non so': è meglio dichiarare dubbio e poi studiare mirato.</t>
        </is>
      </c>
    </row>
    <row r="28">
      <c r="A28" s="2" t="n">
        <v>2.5</v>
      </c>
      <c r="B28" s="2" t="n">
        <v>25</v>
      </c>
      <c r="C28" s="4" t="inlineStr">
        <is>
          <t>Quasi sulla retta</t>
        </is>
      </c>
      <c r="D28" s="2" t="inlineStr">
        <is>
          <t>NI</t>
        </is>
      </c>
      <c r="E28" s="2" t="n">
        <v>70</v>
      </c>
      <c r="F28" s="3" t="inlineStr">
        <is>
          <t>Anche se il punteggio è basso, la tua calibrazione è ottima: distingui bene ciò che sai da ciò che non sai. Ottimo punto di partenza per recuperare rapidamente.</t>
        </is>
      </c>
      <c r="G28" s="2">
        <f>SQRT(($Lookup.$B$4*(B28-$Lookup.$B$2))^2 + (E28-$Lookup.$B$3)^2)</f>
        <v/>
      </c>
      <c r="H28" s="3" t="inlineStr">
        <is>
          <t>Recupero (basi da consolidare) — Consapevolezza alta (calibrazione molto buona)</t>
        </is>
      </c>
      <c r="I28" s="3" t="inlineStr">
        <is>
          <t>Ripassa i concetti base (10 minuti) e rifai le domande sbagliate spiegandole ad alta voce.</t>
        </is>
      </c>
      <c r="J28" s="3" t="inlineStr">
        <is>
          <t>Usa una lista 'so / non so': è meglio dichiarare dubbio e poi studiare mirato.</t>
        </is>
      </c>
    </row>
    <row r="29">
      <c r="A29" s="2" t="n">
        <v>2.5</v>
      </c>
      <c r="B29" s="2" t="n">
        <v>25</v>
      </c>
      <c r="C29" s="4" t="inlineStr">
        <is>
          <t>Sulla retta (ideale)</t>
        </is>
      </c>
      <c r="D29" s="2" t="inlineStr">
        <is>
          <t>I</t>
        </is>
      </c>
      <c r="E29" s="2" t="n">
        <v>75</v>
      </c>
      <c r="F29" s="3" t="inlineStr">
        <is>
          <t>Anche se il punteggio è basso, la tua calibrazione è ottima: distingui bene ciò che sai da ciò che non sai. Ottimo punto di partenza per recuperare rapidamente.</t>
        </is>
      </c>
      <c r="G29" s="2">
        <f>SQRT(($Lookup.$B$4*(B29-$Lookup.$B$2))^2 + (E29-$Lookup.$B$3)^2)</f>
        <v/>
      </c>
      <c r="H29" s="3" t="inlineStr">
        <is>
          <t>Recupero (basi da consolidare) — Consapevolezza alta (calibrazione molto buona)</t>
        </is>
      </c>
      <c r="I29" s="3" t="inlineStr">
        <is>
          <t>Ripassa i concetti base (10 minuti) e rifai le domande sbagliate spiegandole ad alta voce.</t>
        </is>
      </c>
      <c r="J29" s="3" t="inlineStr">
        <is>
          <t>Usa una lista 'so / non so': è meglio dichiarare dubbio e poi studiare mirato.</t>
        </is>
      </c>
    </row>
    <row r="30">
      <c r="A30" s="2" t="n">
        <v>3</v>
      </c>
      <c r="B30" s="2" t="n">
        <v>30</v>
      </c>
      <c r="C30" s="4" t="inlineStr">
        <is>
          <t>Molto sotto spezzata</t>
        </is>
      </c>
      <c r="D30" s="2" t="inlineStr">
        <is>
          <t>VBL</t>
        </is>
      </c>
      <c r="E30" s="2" t="n">
        <v>10.2</v>
      </c>
      <c r="F30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30" s="2">
        <f>SQRT(($Lookup.$B$4*(B30-$Lookup.$B$2))^2 + (E30-$Lookup.$B$3)^2)</f>
        <v/>
      </c>
      <c r="H30" s="3" t="inlineStr">
        <is>
          <t>Recupero (basi da consolidare) — Disorientamento + false certezze (priorità: ripasso guidato)</t>
        </is>
      </c>
      <c r="I30" s="3" t="inlineStr">
        <is>
          <t>Ripassa i concetti base (10 minuti) e rifai le domande sbagliate spiegandole ad alta voce.</t>
        </is>
      </c>
      <c r="J30" s="3" t="inlineStr">
        <is>
          <t>Quando ti senti 'sicuro', fermati e verifica con un esempio: evita certezze senza prova.</t>
        </is>
      </c>
    </row>
    <row r="31">
      <c r="A31" s="2" t="n">
        <v>3</v>
      </c>
      <c r="B31" s="2" t="n">
        <v>30</v>
      </c>
      <c r="C31" s="4" t="inlineStr">
        <is>
          <t>Sotto spezzata</t>
        </is>
      </c>
      <c r="D31" s="2" t="inlineStr">
        <is>
          <t>BL</t>
        </is>
      </c>
      <c r="E31" s="2" t="n">
        <v>20.1</v>
      </c>
      <c r="F31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31" s="2">
        <f>SQRT(($Lookup.$B$4*(B31-$Lookup.$B$2))^2 + (E31-$Lookup.$B$3)^2)</f>
        <v/>
      </c>
      <c r="H31" s="3" t="inlineStr">
        <is>
          <t>Recupero (basi da consolidare) — Disorientamento + false certezze (priorità: ripasso guidato)</t>
        </is>
      </c>
      <c r="I31" s="3" t="inlineStr">
        <is>
          <t>Ripassa i concetti base (10 minuti) e rifai le domande sbagliate spiegandole ad alta voce.</t>
        </is>
      </c>
      <c r="J31" s="3" t="inlineStr">
        <is>
          <t>Quando ti senti 'sicuro', fermati e verifica con un esempio: evita certezze senza prova.</t>
        </is>
      </c>
    </row>
    <row r="32">
      <c r="A32" s="2" t="n">
        <v>3</v>
      </c>
      <c r="B32" s="2" t="n">
        <v>30</v>
      </c>
      <c r="C32" s="4" t="inlineStr">
        <is>
          <t>Sulla spezzata</t>
        </is>
      </c>
      <c r="D32" s="2" t="inlineStr">
        <is>
          <t>S</t>
        </is>
      </c>
      <c r="E32" s="2" t="n">
        <v>30</v>
      </c>
      <c r="F32" s="3" t="inlineStr">
        <is>
          <t>Risultato ancora sotto la sufficienza, ma la prudenza è coerente: sai quando non sei sicuro. Buon segnale—ora serve consolidare i fondamentali con studio mirato.</t>
        </is>
      </c>
      <c r="G32" s="2">
        <f>SQRT(($Lookup.$B$4*(B32-$Lookup.$B$2))^2 + (E32-$Lookup.$B$3)^2)</f>
        <v/>
      </c>
      <c r="H32" s="3" t="inlineStr">
        <is>
          <t>Recupero (basi da consolidare) — Consapevolezza minima (prudenza / poca discriminazione)</t>
        </is>
      </c>
      <c r="I32" s="3" t="inlineStr">
        <is>
          <t>Ripassa i concetti base (10 minuti) e rifai le domande sbagliate spiegandole ad alta voce.</t>
        </is>
      </c>
      <c r="J32" s="3" t="inlineStr">
        <is>
          <t>Usa una lista 'so / non so': è meglio dichiarare dubbio e poi studiare mirato.</t>
        </is>
      </c>
    </row>
    <row r="33">
      <c r="A33" s="2" t="n">
        <v>3</v>
      </c>
      <c r="B33" s="2" t="n">
        <v>30</v>
      </c>
      <c r="C33" s="4" t="inlineStr">
        <is>
          <t>Sopra spezzata</t>
        </is>
      </c>
      <c r="D33" s="2" t="inlineStr">
        <is>
          <t>AB</t>
        </is>
      </c>
      <c r="E33" s="2" t="n">
        <v>49.8</v>
      </c>
      <c r="F33" s="3" t="inlineStr">
        <is>
          <t>Conoscenza ancora debole, però stai stimando abbastanza bene la tua sicurezza: buona consapevolezza. Usa questo dato per studiare meglio: priorità agli errori più frequenti.</t>
        </is>
      </c>
      <c r="G33" s="2">
        <f>SQRT(($Lookup.$B$4*(B33-$Lookup.$B$2))^2 + (E33-$Lookup.$B$3)^2)</f>
        <v/>
      </c>
      <c r="H33" s="3" t="inlineStr">
        <is>
          <t>Recupero (basi da consolidare) — Buona consapevolezza (discrimini abbastanza bene)</t>
        </is>
      </c>
      <c r="I33" s="3" t="inlineStr">
        <is>
          <t>Ripassa i concetti base (10 minuti) e rifai le domande sbagliate spiegandole ad alta voce.</t>
        </is>
      </c>
      <c r="J33" s="3" t="inlineStr">
        <is>
          <t>Usa una lista 'so / non so': è meglio dichiarare dubbio e poi studiare mirato.</t>
        </is>
      </c>
    </row>
    <row r="34">
      <c r="A34" s="2" t="n">
        <v>3</v>
      </c>
      <c r="B34" s="2" t="n">
        <v>30</v>
      </c>
      <c r="C34" s="4" t="inlineStr">
        <is>
          <t>Molto sopra spezzata</t>
        </is>
      </c>
      <c r="D34" s="2" t="inlineStr">
        <is>
          <t>VAB</t>
        </is>
      </c>
      <c r="E34" s="2" t="n">
        <v>69.59999999999999</v>
      </c>
      <c r="F34" s="3" t="inlineStr">
        <is>
          <t>Conoscenza ancora debole, però stai stimando abbastanza bene la tua sicurezza: buona consapevolezza. Usa questo dato per studiare meglio: priorità agli errori più frequenti.</t>
        </is>
      </c>
      <c r="G34" s="2">
        <f>SQRT(($Lookup.$B$4*(B34-$Lookup.$B$2))^2 + (E34-$Lookup.$B$3)^2)</f>
        <v/>
      </c>
      <c r="H34" s="3" t="inlineStr">
        <is>
          <t>Recupero (basi da consolidare) — Buona consapevolezza (discrimini abbastanza bene)</t>
        </is>
      </c>
      <c r="I34" s="3" t="inlineStr">
        <is>
          <t>Ripassa i concetti base (10 minuti) e rifai le domande sbagliate spiegandole ad alta voce.</t>
        </is>
      </c>
      <c r="J34" s="3" t="inlineStr">
        <is>
          <t>Usa una lista 'so / non so': è meglio dichiarare dubbio e poi studiare mirato.</t>
        </is>
      </c>
    </row>
    <row r="35">
      <c r="A35" s="2" t="n">
        <v>3</v>
      </c>
      <c r="B35" s="2" t="n">
        <v>30</v>
      </c>
      <c r="C35" s="4" t="inlineStr">
        <is>
          <t>Quasi sulla retta</t>
        </is>
      </c>
      <c r="D35" s="2" t="inlineStr">
        <is>
          <t>NI</t>
        </is>
      </c>
      <c r="E35" s="2" t="n">
        <v>84</v>
      </c>
      <c r="F35" s="3" t="inlineStr">
        <is>
          <t>Anche se il punteggio è basso, la tua calibrazione è ottima: distingui bene ciò che sai da ciò che non sai. Ottimo punto di partenza per recuperare rapidamente.</t>
        </is>
      </c>
      <c r="G35" s="2">
        <f>SQRT(($Lookup.$B$4*(B35-$Lookup.$B$2))^2 + (E35-$Lookup.$B$3)^2)</f>
        <v/>
      </c>
      <c r="H35" s="3" t="inlineStr">
        <is>
          <t>Recupero (basi da consolidare) — Consapevolezza alta (calibrazione molto buona)</t>
        </is>
      </c>
      <c r="I35" s="3" t="inlineStr">
        <is>
          <t>Ripassa i concetti base (10 minuti) e rifai le domande sbagliate spiegandole ad alta voce.</t>
        </is>
      </c>
      <c r="J35" s="3" t="inlineStr">
        <is>
          <t>Usa una lista 'so / non so': è meglio dichiarare dubbio e poi studiare mirato.</t>
        </is>
      </c>
    </row>
    <row r="36">
      <c r="A36" s="2" t="n">
        <v>3</v>
      </c>
      <c r="B36" s="2" t="n">
        <v>30</v>
      </c>
      <c r="C36" s="4" t="inlineStr">
        <is>
          <t>Sulla retta (ideale)</t>
        </is>
      </c>
      <c r="D36" s="2" t="inlineStr">
        <is>
          <t>I</t>
        </is>
      </c>
      <c r="E36" s="2" t="n">
        <v>90</v>
      </c>
      <c r="F36" s="3" t="inlineStr">
        <is>
          <t>Anche se il punteggio è basso, la tua calibrazione è ottima: distingui bene ciò che sai da ciò che non sai. Ottimo punto di partenza per recuperare rapidamente.</t>
        </is>
      </c>
      <c r="G36" s="2">
        <f>SQRT(($Lookup.$B$4*(B36-$Lookup.$B$2))^2 + (E36-$Lookup.$B$3)^2)</f>
        <v/>
      </c>
      <c r="H36" s="3" t="inlineStr">
        <is>
          <t>Recupero (basi da consolidare) — Consapevolezza alta (calibrazione molto buona)</t>
        </is>
      </c>
      <c r="I36" s="3" t="inlineStr">
        <is>
          <t>Ripassa i concetti base (10 minuti) e rifai le domande sbagliate spiegandole ad alta voce.</t>
        </is>
      </c>
      <c r="J36" s="3" t="inlineStr">
        <is>
          <t>Usa una lista 'so / non so': è meglio dichiarare dubbio e poi studiare mirato.</t>
        </is>
      </c>
    </row>
    <row r="37">
      <c r="A37" s="2" t="n">
        <v>3.5</v>
      </c>
      <c r="B37" s="2" t="n">
        <v>35</v>
      </c>
      <c r="C37" s="4" t="inlineStr">
        <is>
          <t>Molto sotto spezzata</t>
        </is>
      </c>
      <c r="D37" s="2" t="inlineStr">
        <is>
          <t>VBL</t>
        </is>
      </c>
      <c r="E37" s="2" t="n">
        <v>11.9</v>
      </c>
      <c r="F37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37" s="2">
        <f>SQRT(($Lookup.$B$4*(B37-$Lookup.$B$2))^2 + (E37-$Lookup.$B$3)^2)</f>
        <v/>
      </c>
      <c r="H37" s="3" t="inlineStr">
        <is>
          <t>Recupero (basi da consolidare) — Disorientamento + false certezze (priorità: ripasso guidato)</t>
        </is>
      </c>
      <c r="I37" s="3" t="inlineStr">
        <is>
          <t>Ripassa i concetti base (10 minuti) e rifai le domande sbagliate spiegandole ad alta voce.</t>
        </is>
      </c>
      <c r="J37" s="3" t="inlineStr">
        <is>
          <t>Quando ti senti 'sicuro', fermati e verifica con un esempio: evita certezze senza prova.</t>
        </is>
      </c>
    </row>
    <row r="38">
      <c r="A38" s="2" t="n">
        <v>3.5</v>
      </c>
      <c r="B38" s="2" t="n">
        <v>35</v>
      </c>
      <c r="C38" s="4" t="inlineStr">
        <is>
          <t>Sotto spezzata</t>
        </is>
      </c>
      <c r="D38" s="2" t="inlineStr">
        <is>
          <t>BL</t>
        </is>
      </c>
      <c r="E38" s="2" t="n">
        <v>23.45</v>
      </c>
      <c r="F38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38" s="2">
        <f>SQRT(($Lookup.$B$4*(B38-$Lookup.$B$2))^2 + (E38-$Lookup.$B$3)^2)</f>
        <v/>
      </c>
      <c r="H38" s="3" t="inlineStr">
        <is>
          <t>Recupero (basi da consolidare) — Disorientamento + false certezze (priorità: ripasso guidato)</t>
        </is>
      </c>
      <c r="I38" s="3" t="inlineStr">
        <is>
          <t>Ripassa i concetti base (10 minuti) e rifai le domande sbagliate spiegandole ad alta voce.</t>
        </is>
      </c>
      <c r="J38" s="3" t="inlineStr">
        <is>
          <t>Quando ti senti 'sicuro', fermati e verifica con un esempio: evita certezze senza prova.</t>
        </is>
      </c>
    </row>
    <row r="39">
      <c r="A39" s="2" t="n">
        <v>3.5</v>
      </c>
      <c r="B39" s="2" t="n">
        <v>35</v>
      </c>
      <c r="C39" s="4" t="inlineStr">
        <is>
          <t>Sulla spezzata</t>
        </is>
      </c>
      <c r="D39" s="2" t="inlineStr">
        <is>
          <t>S</t>
        </is>
      </c>
      <c r="E39" s="2" t="n">
        <v>35</v>
      </c>
      <c r="F39" s="3" t="inlineStr">
        <is>
          <t>Risultato ancora sotto la sufficienza, ma la prudenza è coerente: sai quando non sei sicuro. Buon segnale—ora serve consolidare i fondamentali con studio mirato.</t>
        </is>
      </c>
      <c r="G39" s="2">
        <f>SQRT(($Lookup.$B$4*(B39-$Lookup.$B$2))^2 + (E39-$Lookup.$B$3)^2)</f>
        <v/>
      </c>
      <c r="H39" s="3" t="inlineStr">
        <is>
          <t>Recupero (basi da consolidare) — Consapevolezza minima (prudenza / poca discriminazione)</t>
        </is>
      </c>
      <c r="I39" s="3" t="inlineStr">
        <is>
          <t>Ripassa i concetti base (10 minuti) e rifai le domande sbagliate spiegandole ad alta voce.</t>
        </is>
      </c>
      <c r="J39" s="3" t="inlineStr">
        <is>
          <t>Usa una lista 'so / non so': è meglio dichiarare dubbio e poi studiare mirato.</t>
        </is>
      </c>
    </row>
    <row r="40">
      <c r="A40" s="2" t="n">
        <v>3.5</v>
      </c>
      <c r="B40" s="2" t="n">
        <v>35</v>
      </c>
      <c r="C40" s="4" t="inlineStr">
        <is>
          <t>Sopra spezzata</t>
        </is>
      </c>
      <c r="D40" s="2" t="inlineStr">
        <is>
          <t>AB</t>
        </is>
      </c>
      <c r="E40" s="2" t="n">
        <v>58.1</v>
      </c>
      <c r="F40" s="3" t="inlineStr">
        <is>
          <t>Conoscenza ancora debole, però stai stimando abbastanza bene la tua sicurezza: buona consapevolezza. Usa questo dato per studiare meglio: priorità agli errori più frequenti.</t>
        </is>
      </c>
      <c r="G40" s="2">
        <f>SQRT(($Lookup.$B$4*(B40-$Lookup.$B$2))^2 + (E40-$Lookup.$B$3)^2)</f>
        <v/>
      </c>
      <c r="H40" s="3" t="inlineStr">
        <is>
          <t>Recupero (basi da consolidare) — Buona consapevolezza (discrimini abbastanza bene)</t>
        </is>
      </c>
      <c r="I40" s="3" t="inlineStr">
        <is>
          <t>Ripassa i concetti base (10 minuti) e rifai le domande sbagliate spiegandole ad alta voce.</t>
        </is>
      </c>
      <c r="J40" s="3" t="inlineStr">
        <is>
          <t>Usa una lista 'so / non so': è meglio dichiarare dubbio e poi studiare mirato.</t>
        </is>
      </c>
    </row>
    <row r="41">
      <c r="A41" s="2" t="n">
        <v>3.5</v>
      </c>
      <c r="B41" s="2" t="n">
        <v>35</v>
      </c>
      <c r="C41" s="4" t="inlineStr">
        <is>
          <t>Molto sopra spezzata</t>
        </is>
      </c>
      <c r="D41" s="2" t="inlineStr">
        <is>
          <t>VAB</t>
        </is>
      </c>
      <c r="E41" s="2" t="n">
        <v>81.2</v>
      </c>
      <c r="F41" s="3" t="inlineStr">
        <is>
          <t>Conoscenza ancora debole, però stai stimando abbastanza bene la tua sicurezza: buona consapevolezza. Usa questo dato per studiare meglio: priorità agli errori più frequenti.</t>
        </is>
      </c>
      <c r="G41" s="2">
        <f>SQRT(($Lookup.$B$4*(B41-$Lookup.$B$2))^2 + (E41-$Lookup.$B$3)^2)</f>
        <v/>
      </c>
      <c r="H41" s="3" t="inlineStr">
        <is>
          <t>Recupero (basi da consolidare) — Buona consapevolezza (discrimini abbastanza bene)</t>
        </is>
      </c>
      <c r="I41" s="3" t="inlineStr">
        <is>
          <t>Ripassa i concetti base (10 minuti) e rifai le domande sbagliate spiegandole ad alta voce.</t>
        </is>
      </c>
      <c r="J41" s="3" t="inlineStr">
        <is>
          <t>Usa una lista 'so / non so': è meglio dichiarare dubbio e poi studiare mirato.</t>
        </is>
      </c>
    </row>
    <row r="42">
      <c r="A42" s="2" t="n">
        <v>3.5</v>
      </c>
      <c r="B42" s="2" t="n">
        <v>35</v>
      </c>
      <c r="C42" s="4" t="inlineStr">
        <is>
          <t>Quasi sulla retta</t>
        </is>
      </c>
      <c r="D42" s="2" t="inlineStr">
        <is>
          <t>NI</t>
        </is>
      </c>
      <c r="E42" s="2" t="n">
        <v>98</v>
      </c>
      <c r="F42" s="3" t="inlineStr">
        <is>
          <t>Anche se il punteggio è basso, la tua calibrazione è ottima: distingui bene ciò che sai da ciò che non sai. Ottimo punto di partenza per recuperare rapidamente.</t>
        </is>
      </c>
      <c r="G42" s="2">
        <f>SQRT(($Lookup.$B$4*(B42-$Lookup.$B$2))^2 + (E42-$Lookup.$B$3)^2)</f>
        <v/>
      </c>
      <c r="H42" s="3" t="inlineStr">
        <is>
          <t>Recupero (basi da consolidare) — Consapevolezza alta (calibrazione molto buona)</t>
        </is>
      </c>
      <c r="I42" s="3" t="inlineStr">
        <is>
          <t>Ripassa i concetti base (10 minuti) e rifai le domande sbagliate spiegandole ad alta voce.</t>
        </is>
      </c>
      <c r="J42" s="3" t="inlineStr">
        <is>
          <t>Usa una lista 'so / non so': è meglio dichiarare dubbio e poi studiare mirato.</t>
        </is>
      </c>
    </row>
    <row r="43">
      <c r="A43" s="2" t="n">
        <v>3.5</v>
      </c>
      <c r="B43" s="2" t="n">
        <v>35</v>
      </c>
      <c r="C43" s="4" t="inlineStr">
        <is>
          <t>Sulla retta (ideale)</t>
        </is>
      </c>
      <c r="D43" s="2" t="inlineStr">
        <is>
          <t>I</t>
        </is>
      </c>
      <c r="E43" s="2" t="n">
        <v>105</v>
      </c>
      <c r="F43" s="3" t="inlineStr">
        <is>
          <t>Anche se il punteggio è basso, la tua calibrazione è ottima: distingui bene ciò che sai da ciò che non sai. Ottimo punto di partenza per recuperare rapidamente.</t>
        </is>
      </c>
      <c r="G43" s="2">
        <f>SQRT(($Lookup.$B$4*(B43-$Lookup.$B$2))^2 + (E43-$Lookup.$B$3)^2)</f>
        <v/>
      </c>
      <c r="H43" s="3" t="inlineStr">
        <is>
          <t>Recupero (basi da consolidare) — Consapevolezza alta (calibrazione molto buona)</t>
        </is>
      </c>
      <c r="I43" s="3" t="inlineStr">
        <is>
          <t>Ripassa i concetti base (10 minuti) e rifai le domande sbagliate spiegandole ad alta voce.</t>
        </is>
      </c>
      <c r="J43" s="3" t="inlineStr">
        <is>
          <t>Usa una lista 'so / non so': è meglio dichiarare dubbio e poi studiare mirato.</t>
        </is>
      </c>
    </row>
    <row r="44">
      <c r="A44" s="2" t="n">
        <v>4</v>
      </c>
      <c r="B44" s="2" t="n">
        <v>40</v>
      </c>
      <c r="C44" s="4" t="inlineStr">
        <is>
          <t>Molto sotto spezzata</t>
        </is>
      </c>
      <c r="D44" s="2" t="inlineStr">
        <is>
          <t>VBL</t>
        </is>
      </c>
      <c r="E44" s="2" t="n">
        <v>13.6</v>
      </c>
      <c r="F44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44" s="2">
        <f>SQRT(($Lookup.$B$4*(B44-$Lookup.$B$2))^2 + (E44-$Lookup.$B$3)^2)</f>
        <v/>
      </c>
      <c r="H44" s="3" t="inlineStr">
        <is>
          <t>Recupero (basi da consolidare) — Disorientamento + false certezze (priorità: ripasso guidato)</t>
        </is>
      </c>
      <c r="I44" s="3" t="inlineStr">
        <is>
          <t>Ripassa i concetti base (10 minuti) e rifai le domande sbagliate spiegandole ad alta voce.</t>
        </is>
      </c>
      <c r="J44" s="3" t="inlineStr">
        <is>
          <t>Quando ti senti 'sicuro', fermati e verifica con un esempio: evita certezze senza prova.</t>
        </is>
      </c>
    </row>
    <row r="45">
      <c r="A45" s="2" t="n">
        <v>4</v>
      </c>
      <c r="B45" s="2" t="n">
        <v>40</v>
      </c>
      <c r="C45" s="4" t="inlineStr">
        <is>
          <t>Sotto spezzata</t>
        </is>
      </c>
      <c r="D45" s="2" t="inlineStr">
        <is>
          <t>BL</t>
        </is>
      </c>
      <c r="E45" s="2" t="n">
        <v>26.8</v>
      </c>
      <c r="F45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45" s="2">
        <f>SQRT(($Lookup.$B$4*(B45-$Lookup.$B$2))^2 + (E45-$Lookup.$B$3)^2)</f>
        <v/>
      </c>
      <c r="H45" s="3" t="inlineStr">
        <is>
          <t>Recupero (basi da consolidare) — Disorientamento + false certezze (priorità: ripasso guidato)</t>
        </is>
      </c>
      <c r="I45" s="3" t="inlineStr">
        <is>
          <t>Ripassa i concetti base (10 minuti) e rifai le domande sbagliate spiegandole ad alta voce.</t>
        </is>
      </c>
      <c r="J45" s="3" t="inlineStr">
        <is>
          <t>Quando ti senti 'sicuro', fermati e verifica con un esempio: evita certezze senza prova.</t>
        </is>
      </c>
    </row>
    <row r="46">
      <c r="A46" s="2" t="n">
        <v>4</v>
      </c>
      <c r="B46" s="2" t="n">
        <v>40</v>
      </c>
      <c r="C46" s="4" t="inlineStr">
        <is>
          <t>Sulla spezzata</t>
        </is>
      </c>
      <c r="D46" s="2" t="inlineStr">
        <is>
          <t>S</t>
        </is>
      </c>
      <c r="E46" s="2" t="n">
        <v>40</v>
      </c>
      <c r="F46" s="3" t="inlineStr">
        <is>
          <t>Risultato ancora sotto la sufficienza, ma la prudenza è coerente: sai quando non sei sicuro. Buon segnale—ora serve consolidare i fondamentali con studio mirato.</t>
        </is>
      </c>
      <c r="G46" s="2">
        <f>SQRT(($Lookup.$B$4*(B46-$Lookup.$B$2))^2 + (E46-$Lookup.$B$3)^2)</f>
        <v/>
      </c>
      <c r="H46" s="3" t="inlineStr">
        <is>
          <t>Recupero (basi da consolidare) — Consapevolezza minima (prudenza / poca discriminazione)</t>
        </is>
      </c>
      <c r="I46" s="3" t="inlineStr">
        <is>
          <t>Ripassa i concetti base (10 minuti) e rifai le domande sbagliate spiegandole ad alta voce.</t>
        </is>
      </c>
      <c r="J46" s="3" t="inlineStr">
        <is>
          <t>Usa una lista 'so / non so': è meglio dichiarare dubbio e poi studiare mirato.</t>
        </is>
      </c>
    </row>
    <row r="47">
      <c r="A47" s="2" t="n">
        <v>4</v>
      </c>
      <c r="B47" s="2" t="n">
        <v>40</v>
      </c>
      <c r="C47" s="4" t="inlineStr">
        <is>
          <t>Sopra spezzata</t>
        </is>
      </c>
      <c r="D47" s="2" t="inlineStr">
        <is>
          <t>AB</t>
        </is>
      </c>
      <c r="E47" s="2" t="n">
        <v>66.40000000000001</v>
      </c>
      <c r="F47" s="3" t="inlineStr">
        <is>
          <t>Conoscenza ancora debole, però stai stimando abbastanza bene la tua sicurezza: buona consapevolezza. Usa questo dato per studiare meglio: priorità agli errori più frequenti.</t>
        </is>
      </c>
      <c r="G47" s="2">
        <f>SQRT(($Lookup.$B$4*(B47-$Lookup.$B$2))^2 + (E47-$Lookup.$B$3)^2)</f>
        <v/>
      </c>
      <c r="H47" s="3" t="inlineStr">
        <is>
          <t>Recupero (basi da consolidare) — Buona consapevolezza (discrimini abbastanza bene)</t>
        </is>
      </c>
      <c r="I47" s="3" t="inlineStr">
        <is>
          <t>Ripassa i concetti base (10 minuti) e rifai le domande sbagliate spiegandole ad alta voce.</t>
        </is>
      </c>
      <c r="J47" s="3" t="inlineStr">
        <is>
          <t>Usa una lista 'so / non so': è meglio dichiarare dubbio e poi studiare mirato.</t>
        </is>
      </c>
    </row>
    <row r="48">
      <c r="A48" s="2" t="n">
        <v>4</v>
      </c>
      <c r="B48" s="2" t="n">
        <v>40</v>
      </c>
      <c r="C48" s="4" t="inlineStr">
        <is>
          <t>Molto sopra spezzata</t>
        </is>
      </c>
      <c r="D48" s="2" t="inlineStr">
        <is>
          <t>VAB</t>
        </is>
      </c>
      <c r="E48" s="2" t="n">
        <v>92.8</v>
      </c>
      <c r="F48" s="3" t="inlineStr">
        <is>
          <t>Conoscenza ancora debole, però stai stimando abbastanza bene la tua sicurezza: buona consapevolezza. Usa questo dato per studiare meglio: priorità agli errori più frequenti.</t>
        </is>
      </c>
      <c r="G48" s="2">
        <f>SQRT(($Lookup.$B$4*(B48-$Lookup.$B$2))^2 + (E48-$Lookup.$B$3)^2)</f>
        <v/>
      </c>
      <c r="H48" s="3" t="inlineStr">
        <is>
          <t>Recupero (basi da consolidare) — Buona consapevolezza (discrimini abbastanza bene)</t>
        </is>
      </c>
      <c r="I48" s="3" t="inlineStr">
        <is>
          <t>Ripassa i concetti base (10 minuti) e rifai le domande sbagliate spiegandole ad alta voce.</t>
        </is>
      </c>
      <c r="J48" s="3" t="inlineStr">
        <is>
          <t>Usa una lista 'so / non so': è meglio dichiarare dubbio e poi studiare mirato.</t>
        </is>
      </c>
    </row>
    <row r="49">
      <c r="A49" s="2" t="n">
        <v>4</v>
      </c>
      <c r="B49" s="2" t="n">
        <v>40</v>
      </c>
      <c r="C49" s="4" t="inlineStr">
        <is>
          <t>Quasi sulla retta</t>
        </is>
      </c>
      <c r="D49" s="2" t="inlineStr">
        <is>
          <t>NI</t>
        </is>
      </c>
      <c r="E49" s="2" t="n">
        <v>112</v>
      </c>
      <c r="F49" s="3" t="inlineStr">
        <is>
          <t>Anche se il punteggio è basso, la tua calibrazione è ottima: distingui bene ciò che sai da ciò che non sai. Ottimo punto di partenza per recuperare rapidamente.</t>
        </is>
      </c>
      <c r="G49" s="2">
        <f>SQRT(($Lookup.$B$4*(B49-$Lookup.$B$2))^2 + (E49-$Lookup.$B$3)^2)</f>
        <v/>
      </c>
      <c r="H49" s="3" t="inlineStr">
        <is>
          <t>Recupero (basi da consolidare) — Consapevolezza alta (calibrazione molto buona)</t>
        </is>
      </c>
      <c r="I49" s="3" t="inlineStr">
        <is>
          <t>Ripassa i concetti base (10 minuti) e rifai le domande sbagliate spiegandole ad alta voce.</t>
        </is>
      </c>
      <c r="J49" s="3" t="inlineStr">
        <is>
          <t>Usa una lista 'so / non so': è meglio dichiarare dubbio e poi studiare mirato.</t>
        </is>
      </c>
    </row>
    <row r="50">
      <c r="A50" s="2" t="n">
        <v>4</v>
      </c>
      <c r="B50" s="2" t="n">
        <v>40</v>
      </c>
      <c r="C50" s="4" t="inlineStr">
        <is>
          <t>Sulla retta (ideale)</t>
        </is>
      </c>
      <c r="D50" s="2" t="inlineStr">
        <is>
          <t>I</t>
        </is>
      </c>
      <c r="E50" s="2" t="n">
        <v>120</v>
      </c>
      <c r="F50" s="3" t="inlineStr">
        <is>
          <t>Anche se il punteggio è basso, la tua calibrazione è ottima: distingui bene ciò che sai da ciò che non sai. Ottimo punto di partenza per recuperare rapidamente.</t>
        </is>
      </c>
      <c r="G50" s="2">
        <f>SQRT(($Lookup.$B$4*(B50-$Lookup.$B$2))^2 + (E50-$Lookup.$B$3)^2)</f>
        <v/>
      </c>
      <c r="H50" s="3" t="inlineStr">
        <is>
          <t>Recupero (basi da consolidare) — Consapevolezza alta (calibrazione molto buona)</t>
        </is>
      </c>
      <c r="I50" s="3" t="inlineStr">
        <is>
          <t>Ripassa i concetti base (10 minuti) e rifai le domande sbagliate spiegandole ad alta voce.</t>
        </is>
      </c>
      <c r="J50" s="3" t="inlineStr">
        <is>
          <t>Usa una lista 'so / non so': è meglio dichiarare dubbio e poi studiare mirato.</t>
        </is>
      </c>
    </row>
    <row r="51">
      <c r="A51" s="2" t="n">
        <v>4.5</v>
      </c>
      <c r="B51" s="2" t="n">
        <v>45</v>
      </c>
      <c r="C51" s="4" t="inlineStr">
        <is>
          <t>Molto sotto spezzata</t>
        </is>
      </c>
      <c r="D51" s="2" t="inlineStr">
        <is>
          <t>VBL</t>
        </is>
      </c>
      <c r="E51" s="2" t="n">
        <v>15.3</v>
      </c>
      <c r="F51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51" s="2">
        <f>SQRT(($Lookup.$B$4*(B51-$Lookup.$B$2))^2 + (E51-$Lookup.$B$3)^2)</f>
        <v/>
      </c>
      <c r="H51" s="3" t="inlineStr">
        <is>
          <t>Recupero (basi da consolidare) — Disorientamento + false certezze (priorità: ripasso guidato)</t>
        </is>
      </c>
      <c r="I51" s="3" t="inlineStr">
        <is>
          <t>Ripassa i concetti base (10 minuti) e rifai le domande sbagliate spiegandole ad alta voce.</t>
        </is>
      </c>
      <c r="J51" s="3" t="inlineStr">
        <is>
          <t>Quando ti senti 'sicuro', fermati e verifica con un esempio: evita certezze senza prova.</t>
        </is>
      </c>
    </row>
    <row r="52">
      <c r="A52" s="2" t="n">
        <v>4.5</v>
      </c>
      <c r="B52" s="2" t="n">
        <v>45</v>
      </c>
      <c r="C52" s="4" t="inlineStr">
        <is>
          <t>Sotto spezzata</t>
        </is>
      </c>
      <c r="D52" s="2" t="inlineStr">
        <is>
          <t>BL</t>
        </is>
      </c>
      <c r="E52" s="2" t="n">
        <v>30.15</v>
      </c>
      <c r="F52" s="3" t="inlineStr">
        <is>
          <t>Base ancora fragile e sicurezza spesso fuori bersaglio: rischio di 'false certezze'. Riparti dai concetti fondamentali e, quando ti senti molto sicuro, chiediti: «so anche spiegare il perché?»</t>
        </is>
      </c>
      <c r="G52" s="2">
        <f>SQRT(($Lookup.$B$4*(B52-$Lookup.$B$2))^2 + (E52-$Lookup.$B$3)^2)</f>
        <v/>
      </c>
      <c r="H52" s="3" t="inlineStr">
        <is>
          <t>Recupero (basi da consolidare) — Disorientamento + false certezze (priorità: ripasso guidato)</t>
        </is>
      </c>
      <c r="I52" s="3" t="inlineStr">
        <is>
          <t>Ripassa i concetti base (10 minuti) e rifai le domande sbagliate spiegandole ad alta voce.</t>
        </is>
      </c>
      <c r="J52" s="3" t="inlineStr">
        <is>
          <t>Quando ti senti 'sicuro', fermati e verifica con un esempio: evita certezze senza prova.</t>
        </is>
      </c>
    </row>
    <row r="53">
      <c r="A53" s="2" t="n">
        <v>4.5</v>
      </c>
      <c r="B53" s="2" t="n">
        <v>45</v>
      </c>
      <c r="C53" s="4" t="inlineStr">
        <is>
          <t>Sulla spezzata</t>
        </is>
      </c>
      <c r="D53" s="2" t="inlineStr">
        <is>
          <t>S</t>
        </is>
      </c>
      <c r="E53" s="2" t="n">
        <v>45</v>
      </c>
      <c r="F53" s="3" t="inlineStr">
        <is>
          <t>Risultato ancora sotto la sufficienza, ma la prudenza è coerente: sai quando non sei sicuro. Buon segnale—ora serve consolidare i fondamentali con studio mirato.</t>
        </is>
      </c>
      <c r="G53" s="2">
        <f>SQRT(($Lookup.$B$4*(B53-$Lookup.$B$2))^2 + (E53-$Lookup.$B$3)^2)</f>
        <v/>
      </c>
      <c r="H53" s="3" t="inlineStr">
        <is>
          <t>Recupero (basi da consolidare) — Consapevolezza minima (prudenza / poca discriminazione)</t>
        </is>
      </c>
      <c r="I53" s="3" t="inlineStr">
        <is>
          <t>Ripassa i concetti base (10 minuti) e rifai le domande sbagliate spiegandole ad alta voce.</t>
        </is>
      </c>
      <c r="J53" s="3" t="inlineStr">
        <is>
          <t>Usa una lista 'so / non so': è meglio dichiarare dubbio e poi studiare mirato.</t>
        </is>
      </c>
    </row>
    <row r="54">
      <c r="A54" s="2" t="n">
        <v>4.5</v>
      </c>
      <c r="B54" s="2" t="n">
        <v>45</v>
      </c>
      <c r="C54" s="4" t="inlineStr">
        <is>
          <t>Sopra spezzata</t>
        </is>
      </c>
      <c r="D54" s="2" t="inlineStr">
        <is>
          <t>AB</t>
        </is>
      </c>
      <c r="E54" s="2" t="n">
        <v>74.7</v>
      </c>
      <c r="F54" s="3" t="inlineStr">
        <is>
          <t>Conoscenza ancora debole, però stai stimando abbastanza bene la tua sicurezza: buona consapevolezza. Usa questo dato per studiare meglio: priorità agli errori più frequenti.</t>
        </is>
      </c>
      <c r="G54" s="2">
        <f>SQRT(($Lookup.$B$4*(B54-$Lookup.$B$2))^2 + (E54-$Lookup.$B$3)^2)</f>
        <v/>
      </c>
      <c r="H54" s="3" t="inlineStr">
        <is>
          <t>Recupero (basi da consolidare) — Buona consapevolezza (discrimini abbastanza bene)</t>
        </is>
      </c>
      <c r="I54" s="3" t="inlineStr">
        <is>
          <t>Ripassa i concetti base (10 minuti) e rifai le domande sbagliate spiegandole ad alta voce.</t>
        </is>
      </c>
      <c r="J54" s="3" t="inlineStr">
        <is>
          <t>Usa una lista 'so / non so': è meglio dichiarare dubbio e poi studiare mirato.</t>
        </is>
      </c>
    </row>
    <row r="55">
      <c r="A55" s="2" t="n">
        <v>4.5</v>
      </c>
      <c r="B55" s="2" t="n">
        <v>45</v>
      </c>
      <c r="C55" s="4" t="inlineStr">
        <is>
          <t>Molto sopra spezzata</t>
        </is>
      </c>
      <c r="D55" s="2" t="inlineStr">
        <is>
          <t>VAB</t>
        </is>
      </c>
      <c r="E55" s="2" t="n">
        <v>104.4</v>
      </c>
      <c r="F55" s="3" t="inlineStr">
        <is>
          <t>Conoscenza ancora debole, però stai stimando abbastanza bene la tua sicurezza: buona consapevolezza. Usa questo dato per studiare meglio: priorità agli errori più frequenti.</t>
        </is>
      </c>
      <c r="G55" s="2">
        <f>SQRT(($Lookup.$B$4*(B55-$Lookup.$B$2))^2 + (E55-$Lookup.$B$3)^2)</f>
        <v/>
      </c>
      <c r="H55" s="3" t="inlineStr">
        <is>
          <t>Recupero (basi da consolidare) — Buona consapevolezza (discrimini abbastanza bene)</t>
        </is>
      </c>
      <c r="I55" s="3" t="inlineStr">
        <is>
          <t>Ripassa i concetti base (10 minuti) e rifai le domande sbagliate spiegandole ad alta voce.</t>
        </is>
      </c>
      <c r="J55" s="3" t="inlineStr">
        <is>
          <t>Usa una lista 'so / non so': è meglio dichiarare dubbio e poi studiare mirato.</t>
        </is>
      </c>
    </row>
    <row r="56">
      <c r="A56" s="2" t="n">
        <v>4.5</v>
      </c>
      <c r="B56" s="2" t="n">
        <v>45</v>
      </c>
      <c r="C56" s="4" t="inlineStr">
        <is>
          <t>Quasi sulla retta</t>
        </is>
      </c>
      <c r="D56" s="2" t="inlineStr">
        <is>
          <t>NI</t>
        </is>
      </c>
      <c r="E56" s="2" t="n">
        <v>126</v>
      </c>
      <c r="F56" s="3" t="inlineStr">
        <is>
          <t>Anche se il punteggio è basso, la tua calibrazione è ottima: distingui bene ciò che sai da ciò che non sai. Ottimo punto di partenza per recuperare rapidamente.</t>
        </is>
      </c>
      <c r="G56" s="2">
        <f>SQRT(($Lookup.$B$4*(B56-$Lookup.$B$2))^2 + (E56-$Lookup.$B$3)^2)</f>
        <v/>
      </c>
      <c r="H56" s="3" t="inlineStr">
        <is>
          <t>Recupero (basi da consolidare) — Consapevolezza alta (calibrazione molto buona)</t>
        </is>
      </c>
      <c r="I56" s="3" t="inlineStr">
        <is>
          <t>Ripassa i concetti base (10 minuti) e rifai le domande sbagliate spiegandole ad alta voce.</t>
        </is>
      </c>
      <c r="J56" s="3" t="inlineStr">
        <is>
          <t>Usa una lista 'so / non so': è meglio dichiarare dubbio e poi studiare mirato.</t>
        </is>
      </c>
    </row>
    <row r="57">
      <c r="A57" s="2" t="n">
        <v>4.5</v>
      </c>
      <c r="B57" s="2" t="n">
        <v>45</v>
      </c>
      <c r="C57" s="4" t="inlineStr">
        <is>
          <t>Sulla retta (ideale)</t>
        </is>
      </c>
      <c r="D57" s="2" t="inlineStr">
        <is>
          <t>I</t>
        </is>
      </c>
      <c r="E57" s="2" t="n">
        <v>135</v>
      </c>
      <c r="F57" s="3" t="inlineStr">
        <is>
          <t>Anche se il punteggio è basso, la tua calibrazione è ottima: distingui bene ciò che sai da ciò che non sai. Ottimo punto di partenza per recuperare rapidamente.</t>
        </is>
      </c>
      <c r="G57" s="2">
        <f>SQRT(($Lookup.$B$4*(B57-$Lookup.$B$2))^2 + (E57-$Lookup.$B$3)^2)</f>
        <v/>
      </c>
      <c r="H57" s="3" t="inlineStr">
        <is>
          <t>Recupero (basi da consolidare) — Consapevolezza alta (calibrazione molto buona)</t>
        </is>
      </c>
      <c r="I57" s="3" t="inlineStr">
        <is>
          <t>Ripassa i concetti base (10 minuti) e rifai le domande sbagliate spiegandole ad alta voce.</t>
        </is>
      </c>
      <c r="J57" s="3" t="inlineStr">
        <is>
          <t>Usa una lista 'so / non so': è meglio dichiarare dubbio e poi studiare mirato.</t>
        </is>
      </c>
    </row>
    <row r="58">
      <c r="A58" s="2" t="n">
        <v>5</v>
      </c>
      <c r="B58" s="2" t="n">
        <v>50</v>
      </c>
      <c r="C58" s="4" t="inlineStr">
        <is>
          <t>Molto sotto spezzata</t>
        </is>
      </c>
      <c r="D58" s="2" t="inlineStr">
        <is>
          <t>VBL</t>
        </is>
      </c>
      <c r="E58" s="2" t="n">
        <v>17</v>
      </c>
      <c r="F58" s="3" t="inlineStr">
        <is>
          <t>Sei al limite, ma la sicurezza non è coerente: alcune risposte sembrano 'spari' o convinzioni sbagliate. Rivedi soprattutto i punti dove eri molto sicuro e hai sbagliato.</t>
        </is>
      </c>
      <c r="G58" s="2">
        <f>SQRT(($Lookup.$B$4*(B58-$Lookup.$B$2))^2 + (E58-$Lookup.$B$3)^2)</f>
        <v/>
      </c>
      <c r="H58" s="3" t="inlineStr">
        <is>
          <t>Sufficiente (basi presenti, da stabilizzare) — Rischio di false certezze (sicurezza incoerente)</t>
        </is>
      </c>
      <c r="I58" s="3" t="inlineStr">
        <is>
          <t>Rivedi le domande sbagliate in cui eri molto sicuro: riscrivi il ragionamento corretto (2-3 righe).</t>
        </is>
      </c>
      <c r="J58" s="3" t="inlineStr">
        <is>
          <t>Fai 5 esercizi mirati sugli stessi concetti e, per ogni risposta, motiva il perché prima di scegliere la sicurezza.</t>
        </is>
      </c>
    </row>
    <row r="59">
      <c r="A59" s="2" t="n">
        <v>5</v>
      </c>
      <c r="B59" s="2" t="n">
        <v>50</v>
      </c>
      <c r="C59" s="4" t="inlineStr">
        <is>
          <t>Sotto spezzata</t>
        </is>
      </c>
      <c r="D59" s="2" t="inlineStr">
        <is>
          <t>BL</t>
        </is>
      </c>
      <c r="E59" s="2" t="n">
        <v>33.5</v>
      </c>
      <c r="F59" s="3" t="inlineStr">
        <is>
          <t>Sei al limite, ma la sicurezza non è coerente: alcune risposte sembrano 'spari' o convinzioni sbagliate. Rivedi soprattutto i punti dove eri molto sicuro e hai sbagliato.</t>
        </is>
      </c>
      <c r="G59" s="2">
        <f>SQRT(($Lookup.$B$4*(B59-$Lookup.$B$2))^2 + (E59-$Lookup.$B$3)^2)</f>
        <v/>
      </c>
      <c r="H59" s="3" t="inlineStr">
        <is>
          <t>Sufficiente (basi presenti, da stabilizzare) — Rischio di false certezze (sicurezza incoerente)</t>
        </is>
      </c>
      <c r="I59" s="3" t="inlineStr">
        <is>
          <t>Rivedi le domande sbagliate in cui eri molto sicuro: riscrivi il ragionamento corretto (2-3 righe).</t>
        </is>
      </c>
      <c r="J59" s="3" t="inlineStr">
        <is>
          <t>Fai 5 esercizi mirati sugli stessi concetti e, per ogni risposta, motiva il perché prima di scegliere la sicurezza.</t>
        </is>
      </c>
    </row>
    <row r="60">
      <c r="A60" s="2" t="n">
        <v>5</v>
      </c>
      <c r="B60" s="2" t="n">
        <v>50</v>
      </c>
      <c r="C60" s="4" t="inlineStr">
        <is>
          <t>Sulla spezzata</t>
        </is>
      </c>
      <c r="D60" s="2" t="inlineStr">
        <is>
          <t>S</t>
        </is>
      </c>
      <c r="E60" s="2" t="n">
        <v>50</v>
      </c>
      <c r="F60" s="3" t="inlineStr">
        <is>
          <t>Sufficiente, ma con sicurezza minima: spesso hai risposto giusto senza esserne convinto. Allenati a motivare le risposte: «come lo dimostro?»</t>
        </is>
      </c>
      <c r="G60" s="2">
        <f>SQRT(($Lookup.$B$4*(B60-$Lookup.$B$2))^2 + (E60-$Lookup.$B$3)^2)</f>
        <v/>
      </c>
      <c r="H60" s="3" t="inlineStr">
        <is>
          <t>Sufficiente (basi presenti, da stabilizzare) — Consapevolezza minima (prudenza / poca discriminazione)</t>
        </is>
      </c>
      <c r="I60" s="3" t="inlineStr">
        <is>
          <t>Per 3 risposte corrette a scelta, scrivi una mini-giustificazione: «perché è vera?» (massimo 2 righe).</t>
        </is>
      </c>
      <c r="J60" s="3" t="inlineStr">
        <is>
          <t>Nel prossimo quiz, evita di mettere sempre la stessa sicurezza: prova a differenziare (almeno 2 livelli diversi).</t>
        </is>
      </c>
    </row>
    <row r="61">
      <c r="A61" s="2" t="n">
        <v>5</v>
      </c>
      <c r="B61" s="2" t="n">
        <v>50</v>
      </c>
      <c r="C61" s="4" t="inlineStr">
        <is>
          <t>Sopra spezzata</t>
        </is>
      </c>
      <c r="D61" s="2" t="inlineStr">
        <is>
          <t>AB</t>
        </is>
      </c>
      <c r="E61" s="2" t="n">
        <v>83</v>
      </c>
      <c r="F61" s="3" t="inlineStr">
        <is>
          <t>Sufficiente con buona consapevolezza: in generale distingui bene tra certezze e dubbi. Continua così e colma le lacune più mirate.</t>
        </is>
      </c>
      <c r="G61" s="2">
        <f>SQRT(($Lookup.$B$4*(B61-$Lookup.$B$2))^2 + (E61-$Lookup.$B$3)^2)</f>
        <v/>
      </c>
      <c r="H61" s="3" t="inlineStr">
        <is>
          <t>Sufficiente (basi presenti, da stabilizzare) — Buona consapevolezza (discrimini abbastanza bene)</t>
        </is>
      </c>
      <c r="I61" s="3" t="inlineStr">
        <is>
          <t>Individua 2 argomenti dove eri incerto e costruisci una scheda: definizione + esempio + errore tipico.</t>
        </is>
      </c>
      <c r="J61" s="3" t="inlineStr">
        <is>
          <t>Allenati con domande simili e controlla se la tua sicurezza cresce quando la spiegazione è chiara.</t>
        </is>
      </c>
    </row>
    <row r="62">
      <c r="A62" s="2" t="n">
        <v>5</v>
      </c>
      <c r="B62" s="2" t="n">
        <v>50</v>
      </c>
      <c r="C62" s="4" t="inlineStr">
        <is>
          <t>Molto sopra spezzata</t>
        </is>
      </c>
      <c r="D62" s="2" t="inlineStr">
        <is>
          <t>VAB</t>
        </is>
      </c>
      <c r="E62" s="2" t="n">
        <v>116</v>
      </c>
      <c r="F62" s="3" t="inlineStr">
        <is>
          <t>Sufficiente con buona consapevolezza: in generale distingui bene tra certezze e dubbi. Continua così e colma le lacune più mirate.</t>
        </is>
      </c>
      <c r="G62" s="2">
        <f>SQRT(($Lookup.$B$4*(B62-$Lookup.$B$2))^2 + (E62-$Lookup.$B$3)^2)</f>
        <v/>
      </c>
      <c r="H62" s="3" t="inlineStr">
        <is>
          <t>Sufficiente (basi presenti, da stabilizzare) — Buona consapevolezza (discrimini abbastanza bene)</t>
        </is>
      </c>
      <c r="I62" s="3" t="inlineStr">
        <is>
          <t>Individua 2 argomenti dove eri incerto e costruisci una scheda: definizione + esempio + errore tipico.</t>
        </is>
      </c>
      <c r="J62" s="3" t="inlineStr">
        <is>
          <t>Allenati con domande simili e controlla se la tua sicurezza cresce quando la spiegazione è chiara.</t>
        </is>
      </c>
    </row>
    <row r="63">
      <c r="A63" s="2" t="n">
        <v>5</v>
      </c>
      <c r="B63" s="2" t="n">
        <v>50</v>
      </c>
      <c r="C63" s="4" t="inlineStr">
        <is>
          <t>Quasi sulla retta</t>
        </is>
      </c>
      <c r="D63" s="2" t="inlineStr">
        <is>
          <t>NI</t>
        </is>
      </c>
      <c r="E63" s="2" t="n">
        <v>140</v>
      </c>
      <c r="F63" s="3" t="inlineStr">
        <is>
          <t>Sufficiente con calibrazione ottima: sai riconoscere bene quando sei affidabile. Il prossimo passo è allargare la base di conoscenza per salire di livello.</t>
        </is>
      </c>
      <c r="G63" s="2">
        <f>SQRT(($Lookup.$B$4*(B63-$Lookup.$B$2))^2 + (E63-$Lookup.$B$3)^2)</f>
        <v/>
      </c>
      <c r="H63" s="3" t="inlineStr">
        <is>
          <t>Sufficiente (basi presenti, da stabilizzare) — Consapevolezza alta (calibrazione molto buona)</t>
        </is>
      </c>
      <c r="I63" s="3" t="inlineStr">
        <is>
          <t>Mantieni la strategia: prima ragionamento, poi scelta della sicurezza (non il contrario).</t>
        </is>
      </c>
      <c r="J63" s="3" t="inlineStr">
        <is>
          <t>Prova esercizi di trasferimento (nuovi contesti): se resti calibrato anche lì, hai davvero consolidato.</t>
        </is>
      </c>
    </row>
    <row r="64">
      <c r="A64" s="2" t="n">
        <v>5</v>
      </c>
      <c r="B64" s="2" t="n">
        <v>50</v>
      </c>
      <c r="C64" s="4" t="inlineStr">
        <is>
          <t>Sulla retta (ideale)</t>
        </is>
      </c>
      <c r="D64" s="2" t="inlineStr">
        <is>
          <t>I</t>
        </is>
      </c>
      <c r="E64" s="2" t="n">
        <v>150</v>
      </c>
      <c r="F64" s="3" t="inlineStr">
        <is>
          <t>Sufficiente con calibrazione ottima: sai riconoscere bene quando sei affidabile. Il prossimo passo è allargare la base di conoscenza per salire di livello.</t>
        </is>
      </c>
      <c r="G64" s="2">
        <f>SQRT(($Lookup.$B$4*(B64-$Lookup.$B$2))^2 + (E64-$Lookup.$B$3)^2)</f>
        <v/>
      </c>
      <c r="H64" s="3" t="inlineStr">
        <is>
          <t>Sufficiente (basi presenti, da stabilizzare) — Consapevolezza alta (calibrazione molto buona)</t>
        </is>
      </c>
      <c r="I64" s="3" t="inlineStr">
        <is>
          <t>Mantieni la strategia: prima ragionamento, poi scelta della sicurezza (non il contrario).</t>
        </is>
      </c>
      <c r="J64" s="3" t="inlineStr">
        <is>
          <t>Prova esercizi di trasferimento (nuovi contesti): se resti calibrato anche lì, hai davvero consolidato.</t>
        </is>
      </c>
    </row>
    <row r="65">
      <c r="A65" s="2" t="n">
        <v>5.5</v>
      </c>
      <c r="B65" s="2" t="n">
        <v>55</v>
      </c>
      <c r="C65" s="4" t="inlineStr">
        <is>
          <t>Molto sotto spezzata</t>
        </is>
      </c>
      <c r="D65" s="2" t="inlineStr">
        <is>
          <t>VBL</t>
        </is>
      </c>
      <c r="E65" s="2" t="n">
        <v>18.7</v>
      </c>
      <c r="F65" s="3" t="inlineStr">
        <is>
          <t>Sei al limite, ma la sicurezza non è coerente: alcune risposte sembrano 'spari' o convinzioni sbagliate. Rivedi soprattutto i punti dove eri molto sicuro e hai sbagliato.</t>
        </is>
      </c>
      <c r="G65" s="2">
        <f>SQRT(($Lookup.$B$4*(B65-$Lookup.$B$2))^2 + (E65-$Lookup.$B$3)^2)</f>
        <v/>
      </c>
      <c r="H65" s="3" t="inlineStr">
        <is>
          <t>Sufficiente (basi presenti, da stabilizzare) — Rischio di false certezze (sicurezza incoerente)</t>
        </is>
      </c>
      <c r="I65" s="3" t="inlineStr">
        <is>
          <t>Rivedi le domande sbagliate in cui eri molto sicuro: riscrivi il ragionamento corretto (2-3 righe).</t>
        </is>
      </c>
      <c r="J65" s="3" t="inlineStr">
        <is>
          <t>Fai 5 esercizi mirati sugli stessi concetti e, per ogni risposta, motiva il perché prima di scegliere la sicurezza.</t>
        </is>
      </c>
    </row>
    <row r="66">
      <c r="A66" s="2" t="n">
        <v>5.5</v>
      </c>
      <c r="B66" s="2" t="n">
        <v>55</v>
      </c>
      <c r="C66" s="4" t="inlineStr">
        <is>
          <t>Sotto spezzata</t>
        </is>
      </c>
      <c r="D66" s="2" t="inlineStr">
        <is>
          <t>BL</t>
        </is>
      </c>
      <c r="E66" s="2" t="n">
        <v>36.85</v>
      </c>
      <c r="F66" s="3" t="inlineStr">
        <is>
          <t>Sei al limite, ma la sicurezza non è coerente: alcune risposte sembrano 'spari' o convinzioni sbagliate. Rivedi soprattutto i punti dove eri molto sicuro e hai sbagliato.</t>
        </is>
      </c>
      <c r="G66" s="2">
        <f>SQRT(($Lookup.$B$4*(B66-$Lookup.$B$2))^2 + (E66-$Lookup.$B$3)^2)</f>
        <v/>
      </c>
      <c r="H66" s="3" t="inlineStr">
        <is>
          <t>Sufficiente (basi presenti, da stabilizzare) — Rischio di false certezze (sicurezza incoerente)</t>
        </is>
      </c>
      <c r="I66" s="3" t="inlineStr">
        <is>
          <t>Rivedi le domande sbagliate in cui eri molto sicuro: riscrivi il ragionamento corretto (2-3 righe).</t>
        </is>
      </c>
      <c r="J66" s="3" t="inlineStr">
        <is>
          <t>Fai 5 esercizi mirati sugli stessi concetti e, per ogni risposta, motiva il perché prima di scegliere la sicurezza.</t>
        </is>
      </c>
    </row>
    <row r="67">
      <c r="A67" s="2" t="n">
        <v>5.5</v>
      </c>
      <c r="B67" s="2" t="n">
        <v>55</v>
      </c>
      <c r="C67" s="4" t="inlineStr">
        <is>
          <t>Sulla spezzata</t>
        </is>
      </c>
      <c r="D67" s="2" t="inlineStr">
        <is>
          <t>S</t>
        </is>
      </c>
      <c r="E67" s="2" t="n">
        <v>55</v>
      </c>
      <c r="F67" s="3" t="inlineStr">
        <is>
          <t>Sufficiente, ma con sicurezza minima: spesso hai risposto giusto senza esserne convinto. Allenati a motivare le risposte: «come lo dimostro?»</t>
        </is>
      </c>
      <c r="G67" s="2">
        <f>SQRT(($Lookup.$B$4*(B67-$Lookup.$B$2))^2 + (E67-$Lookup.$B$3)^2)</f>
        <v/>
      </c>
      <c r="H67" s="3" t="inlineStr">
        <is>
          <t>Sufficiente (basi presenti, da stabilizzare) — Consapevolezza minima (prudenza / poca discriminazione)</t>
        </is>
      </c>
      <c r="I67" s="3" t="inlineStr">
        <is>
          <t>Per 3 risposte corrette a scelta, scrivi una mini-giustificazione: «perché è vera?» (massimo 2 righe).</t>
        </is>
      </c>
      <c r="J67" s="3" t="inlineStr">
        <is>
          <t>Nel prossimo quiz, evita di mettere sempre la stessa sicurezza: prova a differenziare (almeno 2 livelli diversi).</t>
        </is>
      </c>
    </row>
    <row r="68">
      <c r="A68" s="2" t="n">
        <v>5.5</v>
      </c>
      <c r="B68" s="2" t="n">
        <v>55</v>
      </c>
      <c r="C68" s="4" t="inlineStr">
        <is>
          <t>Sopra spezzata</t>
        </is>
      </c>
      <c r="D68" s="2" t="inlineStr">
        <is>
          <t>AB</t>
        </is>
      </c>
      <c r="E68" s="2" t="n">
        <v>91.3</v>
      </c>
      <c r="F68" s="3" t="inlineStr">
        <is>
          <t>Sufficiente con buona consapevolezza: in generale distingui bene tra certezze e dubbi. Continua così e colma le lacune più mirate.</t>
        </is>
      </c>
      <c r="G68" s="2">
        <f>SQRT(($Lookup.$B$4*(B68-$Lookup.$B$2))^2 + (E68-$Lookup.$B$3)^2)</f>
        <v/>
      </c>
      <c r="H68" s="3" t="inlineStr">
        <is>
          <t>Sufficiente (basi presenti, da stabilizzare) — Buona consapevolezza (discrimini abbastanza bene)</t>
        </is>
      </c>
      <c r="I68" s="3" t="inlineStr">
        <is>
          <t>Individua 2 argomenti dove eri incerto e costruisci una scheda: definizione + esempio + errore tipico.</t>
        </is>
      </c>
      <c r="J68" s="3" t="inlineStr">
        <is>
          <t>Allenati con domande simili e controlla se la tua sicurezza cresce quando la spiegazione è chiara.</t>
        </is>
      </c>
    </row>
    <row r="69">
      <c r="A69" s="2" t="n">
        <v>5.5</v>
      </c>
      <c r="B69" s="2" t="n">
        <v>55</v>
      </c>
      <c r="C69" s="4" t="inlineStr">
        <is>
          <t>Molto sopra spezzata</t>
        </is>
      </c>
      <c r="D69" s="2" t="inlineStr">
        <is>
          <t>VAB</t>
        </is>
      </c>
      <c r="E69" s="2" t="n">
        <v>127.6</v>
      </c>
      <c r="F69" s="3" t="inlineStr">
        <is>
          <t>Sufficiente con buona consapevolezza: in generale distingui bene tra certezze e dubbi. Continua così e colma le lacune più mirate.</t>
        </is>
      </c>
      <c r="G69" s="2">
        <f>SQRT(($Lookup.$B$4*(B69-$Lookup.$B$2))^2 + (E69-$Lookup.$B$3)^2)</f>
        <v/>
      </c>
      <c r="H69" s="3" t="inlineStr">
        <is>
          <t>Sufficiente (basi presenti, da stabilizzare) — Buona consapevolezza (discrimini abbastanza bene)</t>
        </is>
      </c>
      <c r="I69" s="3" t="inlineStr">
        <is>
          <t>Individua 2 argomenti dove eri incerto e costruisci una scheda: definizione + esempio + errore tipico.</t>
        </is>
      </c>
      <c r="J69" s="3" t="inlineStr">
        <is>
          <t>Allenati con domande simili e controlla se la tua sicurezza cresce quando la spiegazione è chiara.</t>
        </is>
      </c>
    </row>
    <row r="70">
      <c r="A70" s="2" t="n">
        <v>5.5</v>
      </c>
      <c r="B70" s="2" t="n">
        <v>55</v>
      </c>
      <c r="C70" s="4" t="inlineStr">
        <is>
          <t>Quasi sulla retta</t>
        </is>
      </c>
      <c r="D70" s="2" t="inlineStr">
        <is>
          <t>NI</t>
        </is>
      </c>
      <c r="E70" s="2" t="n">
        <v>154</v>
      </c>
      <c r="F70" s="3" t="inlineStr">
        <is>
          <t>Sufficiente con calibrazione ottima: sai riconoscere bene quando sei affidabile. Il prossimo passo è allargare la base di conoscenza per salire di livello.</t>
        </is>
      </c>
      <c r="G70" s="2">
        <f>SQRT(($Lookup.$B$4*(B70-$Lookup.$B$2))^2 + (E70-$Lookup.$B$3)^2)</f>
        <v/>
      </c>
      <c r="H70" s="3" t="inlineStr">
        <is>
          <t>Sufficiente (basi presenti, da stabilizzare) — Consapevolezza alta (calibrazione molto buona)</t>
        </is>
      </c>
      <c r="I70" s="3" t="inlineStr">
        <is>
          <t>Mantieni la strategia: prima ragionamento, poi scelta della sicurezza (non il contrario).</t>
        </is>
      </c>
      <c r="J70" s="3" t="inlineStr">
        <is>
          <t>Prova esercizi di trasferimento (nuovi contesti): se resti calibrato anche lì, hai davvero consolidato.</t>
        </is>
      </c>
    </row>
    <row r="71">
      <c r="A71" s="2" t="n">
        <v>5.5</v>
      </c>
      <c r="B71" s="2" t="n">
        <v>55</v>
      </c>
      <c r="C71" s="4" t="inlineStr">
        <is>
          <t>Sulla retta (ideale)</t>
        </is>
      </c>
      <c r="D71" s="2" t="inlineStr">
        <is>
          <t>I</t>
        </is>
      </c>
      <c r="E71" s="2" t="n">
        <v>165</v>
      </c>
      <c r="F71" s="3" t="inlineStr">
        <is>
          <t>Sufficiente con calibrazione ottima: sai riconoscere bene quando sei affidabile. Il prossimo passo è allargare la base di conoscenza per salire di livello.</t>
        </is>
      </c>
      <c r="G71" s="2">
        <f>SQRT(($Lookup.$B$4*(B71-$Lookup.$B$2))^2 + (E71-$Lookup.$B$3)^2)</f>
        <v/>
      </c>
      <c r="H71" s="3" t="inlineStr">
        <is>
          <t>Sufficiente (basi presenti, da stabilizzare) — Consapevolezza alta (calibrazione molto buona)</t>
        </is>
      </c>
      <c r="I71" s="3" t="inlineStr">
        <is>
          <t>Mantieni la strategia: prima ragionamento, poi scelta della sicurezza (non il contrario).</t>
        </is>
      </c>
      <c r="J71" s="3" t="inlineStr">
        <is>
          <t>Prova esercizi di trasferimento (nuovi contesti): se resti calibrato anche lì, hai davvero consolidato.</t>
        </is>
      </c>
    </row>
    <row r="72">
      <c r="A72" s="2" t="n">
        <v>6</v>
      </c>
      <c r="B72" s="2" t="n">
        <v>60</v>
      </c>
      <c r="C72" s="4" t="inlineStr">
        <is>
          <t>Molto sotto spezzata</t>
        </is>
      </c>
      <c r="D72" s="2" t="inlineStr">
        <is>
          <t>VBL</t>
        </is>
      </c>
      <c r="E72" s="2" t="n">
        <v>20.4</v>
      </c>
      <c r="F72" s="3" t="inlineStr">
        <is>
          <t>Sei al limite, ma la sicurezza non è coerente: alcune risposte sembrano 'spari' o convinzioni sbagliate. Rivedi soprattutto i punti dove eri molto sicuro e hai sbagliato.</t>
        </is>
      </c>
      <c r="G72" s="2">
        <f>SQRT(($Lookup.$B$4*(B72-$Lookup.$B$2))^2 + (E72-$Lookup.$B$3)^2)</f>
        <v/>
      </c>
      <c r="H72" s="3" t="inlineStr">
        <is>
          <t>Sufficiente (basi presenti, da stabilizzare) — Rischio di false certezze (sicurezza incoerente)</t>
        </is>
      </c>
      <c r="I72" s="3" t="inlineStr">
        <is>
          <t>Rivedi le domande sbagliate in cui eri molto sicuro: riscrivi il ragionamento corretto (2-3 righe).</t>
        </is>
      </c>
      <c r="J72" s="3" t="inlineStr">
        <is>
          <t>Fai 5 esercizi mirati sugli stessi concetti e, per ogni risposta, motiva il perché prima di scegliere la sicurezza.</t>
        </is>
      </c>
    </row>
    <row r="73">
      <c r="A73" s="2" t="n">
        <v>6</v>
      </c>
      <c r="B73" s="2" t="n">
        <v>60</v>
      </c>
      <c r="C73" s="4" t="inlineStr">
        <is>
          <t>Sotto spezzata</t>
        </is>
      </c>
      <c r="D73" s="2" t="inlineStr">
        <is>
          <t>BL</t>
        </is>
      </c>
      <c r="E73" s="2" t="n">
        <v>40.2</v>
      </c>
      <c r="F73" s="3" t="inlineStr">
        <is>
          <t>Sei al limite, ma la sicurezza non è coerente: alcune risposte sembrano 'spari' o convinzioni sbagliate. Rivedi soprattutto i punti dove eri molto sicuro e hai sbagliato.</t>
        </is>
      </c>
      <c r="G73" s="2">
        <f>SQRT(($Lookup.$B$4*(B73-$Lookup.$B$2))^2 + (E73-$Lookup.$B$3)^2)</f>
        <v/>
      </c>
      <c r="H73" s="3" t="inlineStr">
        <is>
          <t>Sufficiente (basi presenti, da stabilizzare) — Rischio di false certezze (sicurezza incoerente)</t>
        </is>
      </c>
      <c r="I73" s="3" t="inlineStr">
        <is>
          <t>Rivedi le domande sbagliate in cui eri molto sicuro: riscrivi il ragionamento corretto (2-3 righe).</t>
        </is>
      </c>
      <c r="J73" s="3" t="inlineStr">
        <is>
          <t>Fai 5 esercizi mirati sugli stessi concetti e, per ogni risposta, motiva il perché prima di scegliere la sicurezza.</t>
        </is>
      </c>
    </row>
    <row r="74">
      <c r="A74" s="2" t="n">
        <v>6</v>
      </c>
      <c r="B74" s="2" t="n">
        <v>60</v>
      </c>
      <c r="C74" s="4" t="inlineStr">
        <is>
          <t>Sulla spezzata</t>
        </is>
      </c>
      <c r="D74" s="2" t="inlineStr">
        <is>
          <t>S</t>
        </is>
      </c>
      <c r="E74" s="2" t="n">
        <v>60</v>
      </c>
      <c r="F74" s="3" t="inlineStr">
        <is>
          <t>Sufficiente, ma con sicurezza minima: spesso hai risposto giusto senza esserne convinto. Allenati a motivare le risposte: «come lo dimostro?»</t>
        </is>
      </c>
      <c r="G74" s="2">
        <f>SQRT(($Lookup.$B$4*(B74-$Lookup.$B$2))^2 + (E74-$Lookup.$B$3)^2)</f>
        <v/>
      </c>
      <c r="H74" s="3" t="inlineStr">
        <is>
          <t>Sufficiente (basi presenti, da stabilizzare) — Consapevolezza minima (prudenza / poca discriminazione)</t>
        </is>
      </c>
      <c r="I74" s="3" t="inlineStr">
        <is>
          <t>Per 3 risposte corrette a scelta, scrivi una mini-giustificazione: «perché è vera?» (massimo 2 righe).</t>
        </is>
      </c>
      <c r="J74" s="3" t="inlineStr">
        <is>
          <t>Nel prossimo quiz, evita di mettere sempre la stessa sicurezza: prova a differenziare (almeno 2 livelli diversi).</t>
        </is>
      </c>
    </row>
    <row r="75">
      <c r="A75" s="2" t="n">
        <v>6</v>
      </c>
      <c r="B75" s="2" t="n">
        <v>60</v>
      </c>
      <c r="C75" s="4" t="inlineStr">
        <is>
          <t>Sopra spezzata</t>
        </is>
      </c>
      <c r="D75" s="2" t="inlineStr">
        <is>
          <t>AB</t>
        </is>
      </c>
      <c r="E75" s="2" t="n">
        <v>99.59999999999999</v>
      </c>
      <c r="F75" s="3" t="inlineStr">
        <is>
          <t>Sufficiente con buona consapevolezza: in generale distingui bene tra certezze e dubbi. Continua così e colma le lacune più mirate.</t>
        </is>
      </c>
      <c r="G75" s="2">
        <f>SQRT(($Lookup.$B$4*(B75-$Lookup.$B$2))^2 + (E75-$Lookup.$B$3)^2)</f>
        <v/>
      </c>
      <c r="H75" s="3" t="inlineStr">
        <is>
          <t>Sufficiente (basi presenti, da stabilizzare) — Buona consapevolezza (discrimini abbastanza bene)</t>
        </is>
      </c>
      <c r="I75" s="3" t="inlineStr">
        <is>
          <t>Individua 2 argomenti dove eri incerto e costruisci una scheda: definizione + esempio + errore tipico.</t>
        </is>
      </c>
      <c r="J75" s="3" t="inlineStr">
        <is>
          <t>Allenati con domande simili e controlla se la tua sicurezza cresce quando la spiegazione è chiara.</t>
        </is>
      </c>
    </row>
    <row r="76">
      <c r="A76" s="2" t="n">
        <v>6</v>
      </c>
      <c r="B76" s="2" t="n">
        <v>60</v>
      </c>
      <c r="C76" s="4" t="inlineStr">
        <is>
          <t>Molto sopra spezzata</t>
        </is>
      </c>
      <c r="D76" s="2" t="inlineStr">
        <is>
          <t>VAB</t>
        </is>
      </c>
      <c r="E76" s="2" t="n">
        <v>139.2</v>
      </c>
      <c r="F76" s="3" t="inlineStr">
        <is>
          <t>Sufficiente con buona consapevolezza: in generale distingui bene tra certezze e dubbi. Continua così e colma le lacune più mirate.</t>
        </is>
      </c>
      <c r="G76" s="2">
        <f>SQRT(($Lookup.$B$4*(B76-$Lookup.$B$2))^2 + (E76-$Lookup.$B$3)^2)</f>
        <v/>
      </c>
      <c r="H76" s="3" t="inlineStr">
        <is>
          <t>Sufficiente (basi presenti, da stabilizzare) — Buona consapevolezza (discrimini abbastanza bene)</t>
        </is>
      </c>
      <c r="I76" s="3" t="inlineStr">
        <is>
          <t>Individua 2 argomenti dove eri incerto e costruisci una scheda: definizione + esempio + errore tipico.</t>
        </is>
      </c>
      <c r="J76" s="3" t="inlineStr">
        <is>
          <t>Allenati con domande simili e controlla se la tua sicurezza cresce quando la spiegazione è chiara.</t>
        </is>
      </c>
    </row>
    <row r="77">
      <c r="A77" s="2" t="n">
        <v>6</v>
      </c>
      <c r="B77" s="2" t="n">
        <v>60</v>
      </c>
      <c r="C77" s="4" t="inlineStr">
        <is>
          <t>Quasi sulla retta</t>
        </is>
      </c>
      <c r="D77" s="2" t="inlineStr">
        <is>
          <t>NI</t>
        </is>
      </c>
      <c r="E77" s="2" t="n">
        <v>168</v>
      </c>
      <c r="F77" s="3" t="inlineStr">
        <is>
          <t>Sufficiente con calibrazione ottima: sai riconoscere bene quando sei affidabile. Il prossimo passo è allargare la base di conoscenza per salire di livello.</t>
        </is>
      </c>
      <c r="G77" s="2">
        <f>SQRT(($Lookup.$B$4*(B77-$Lookup.$B$2))^2 + (E77-$Lookup.$B$3)^2)</f>
        <v/>
      </c>
      <c r="H77" s="3" t="inlineStr">
        <is>
          <t>Sufficiente (basi presenti, da stabilizzare) — Consapevolezza alta (calibrazione molto buona)</t>
        </is>
      </c>
      <c r="I77" s="3" t="inlineStr">
        <is>
          <t>Mantieni la strategia: prima ragionamento, poi scelta della sicurezza (non il contrario).</t>
        </is>
      </c>
      <c r="J77" s="3" t="inlineStr">
        <is>
          <t>Prova esercizi di trasferimento (nuovi contesti): se resti calibrato anche lì, hai davvero consolidato.</t>
        </is>
      </c>
    </row>
    <row r="78">
      <c r="A78" s="2" t="n">
        <v>6</v>
      </c>
      <c r="B78" s="2" t="n">
        <v>60</v>
      </c>
      <c r="C78" s="4" t="inlineStr">
        <is>
          <t>Sulla retta (ideale)</t>
        </is>
      </c>
      <c r="D78" s="2" t="inlineStr">
        <is>
          <t>I</t>
        </is>
      </c>
      <c r="E78" s="2" t="n">
        <v>180</v>
      </c>
      <c r="F78" s="3" t="inlineStr">
        <is>
          <t>Sufficiente con calibrazione ottima: sai riconoscere bene quando sei affidabile. Il prossimo passo è allargare la base di conoscenza per salire di livello.</t>
        </is>
      </c>
      <c r="G78" s="2">
        <f>SQRT(($Lookup.$B$4*(B78-$Lookup.$B$2))^2 + (E78-$Lookup.$B$3)^2)</f>
        <v/>
      </c>
      <c r="H78" s="3" t="inlineStr">
        <is>
          <t>Sufficiente (basi presenti, da stabilizzare) — Consapevolezza alta (calibrazione molto buona)</t>
        </is>
      </c>
      <c r="I78" s="3" t="inlineStr">
        <is>
          <t>Mantieni la strategia: prima ragionamento, poi scelta della sicurezza (non il contrario).</t>
        </is>
      </c>
      <c r="J78" s="3" t="inlineStr">
        <is>
          <t>Prova esercizi di trasferimento (nuovi contesti): se resti calibrato anche lì, hai davvero consolidato.</t>
        </is>
      </c>
    </row>
    <row r="79">
      <c r="A79" s="2" t="n">
        <v>6.5</v>
      </c>
      <c r="B79" s="2" t="n">
        <v>65</v>
      </c>
      <c r="C79" s="4" t="inlineStr">
        <is>
          <t>Molto sotto spezzata</t>
        </is>
      </c>
      <c r="D79" s="2" t="inlineStr">
        <is>
          <t>VBL</t>
        </is>
      </c>
      <c r="E79" s="2" t="n">
        <v>25.4</v>
      </c>
      <c r="F79" s="3" t="inlineStr">
        <is>
          <t>Buon numero di risposte giuste, ma sicurezza spesso incoerente: possibile qualche misconcezione. Focalizzati sugli errori fatti con alta sicurezza e ricostruisci il ragionamento.</t>
        </is>
      </c>
      <c r="G79" s="2">
        <f>SQRT(($Lookup.$B$4*(B79-$Lookup.$B$2))^2 + (E79-$Lookup.$B$3)^2)</f>
        <v/>
      </c>
      <c r="H79" s="3" t="inlineStr">
        <is>
          <t>Buono (competenza in crescita) — Possibili misconcezioni (errori con alta sicurezza)</t>
        </is>
      </c>
      <c r="I79" s="3" t="inlineStr">
        <is>
          <t>Rivedi le domande sbagliate in cui eri molto sicuro: riscrivi il ragionamento corretto (2-3 righe).</t>
        </is>
      </c>
      <c r="J79" s="3" t="inlineStr">
        <is>
          <t>Fai 5 esercizi mirati sugli stessi concetti e, per ogni risposta, motiva il perché prima di scegliere la sicurezza.</t>
        </is>
      </c>
    </row>
    <row r="80">
      <c r="A80" s="2" t="n">
        <v>6.5</v>
      </c>
      <c r="B80" s="2" t="n">
        <v>65</v>
      </c>
      <c r="C80" s="4" t="inlineStr">
        <is>
          <t>Sotto spezzata</t>
        </is>
      </c>
      <c r="D80" s="2" t="inlineStr">
        <is>
          <t>BL</t>
        </is>
      </c>
      <c r="E80" s="2" t="n">
        <v>45.2</v>
      </c>
      <c r="F80" s="3" t="inlineStr">
        <is>
          <t>Buon numero di risposte giuste, ma sicurezza spesso incoerente: possibile qualche misconcezione. Focalizzati sugli errori fatti con alta sicurezza e ricostruisci il ragionamento.</t>
        </is>
      </c>
      <c r="G80" s="2">
        <f>SQRT(($Lookup.$B$4*(B80-$Lookup.$B$2))^2 + (E80-$Lookup.$B$3)^2)</f>
        <v/>
      </c>
      <c r="H80" s="3" t="inlineStr">
        <is>
          <t>Buono (competenza in crescita) — Possibili misconcezioni (errori con alta sicurezza)</t>
        </is>
      </c>
      <c r="I80" s="3" t="inlineStr">
        <is>
          <t>Rivedi le domande sbagliate in cui eri molto sicuro: riscrivi il ragionamento corretto (2-3 righe).</t>
        </is>
      </c>
      <c r="J80" s="3" t="inlineStr">
        <is>
          <t>Fai 5 esercizi mirati sugli stessi concetti e, per ogni risposta, motiva il perché prima di scegliere la sicurezza.</t>
        </is>
      </c>
    </row>
    <row r="81">
      <c r="A81" s="2" t="n">
        <v>6.5</v>
      </c>
      <c r="B81" s="2" t="n">
        <v>65</v>
      </c>
      <c r="C81" s="4" t="inlineStr">
        <is>
          <t>Sulla spezzata</t>
        </is>
      </c>
      <c r="D81" s="2" t="inlineStr">
        <is>
          <t>S</t>
        </is>
      </c>
      <c r="E81" s="2" t="n">
        <v>65</v>
      </c>
      <c r="F81" s="3" t="inlineStr">
        <is>
          <t>Buono, ma un po' ‘freno a mano’: molte risposte corrette con poca sicurezza. Possibile sottostima: prova a spiegarti ad alta voce perché la risposta è giusta.</t>
        </is>
      </c>
      <c r="G81" s="2">
        <f>SQRT(($Lookup.$B$4*(B81-$Lookup.$B$2))^2 + (E81-$Lookup.$B$3)^2)</f>
        <v/>
      </c>
      <c r="H81" s="3" t="inlineStr">
        <is>
          <t>Buono (competenza in crescita) — Consapevolezza minima (prudenza / poca discriminazione)</t>
        </is>
      </c>
      <c r="I81" s="3" t="inlineStr">
        <is>
          <t>Per 3 risposte corrette a scelta, scrivi una mini-giustificazione: «perché è vera?» (massimo 2 righe).</t>
        </is>
      </c>
      <c r="J81" s="3" t="inlineStr">
        <is>
          <t>Nel prossimo quiz, evita di mettere sempre la stessa sicurezza: prova a differenziare (almeno 2 livelli diversi).</t>
        </is>
      </c>
    </row>
    <row r="82">
      <c r="A82" s="2" t="n">
        <v>6.5</v>
      </c>
      <c r="B82" s="2" t="n">
        <v>65</v>
      </c>
      <c r="C82" s="4" t="inlineStr">
        <is>
          <t>Sopra spezzata</t>
        </is>
      </c>
      <c r="D82" s="2" t="inlineStr">
        <is>
          <t>AB</t>
        </is>
      </c>
      <c r="E82" s="2" t="n">
        <v>107.9</v>
      </c>
      <c r="F82" s="3" t="inlineStr">
        <is>
          <t>Buon risultato e consapevolezza adeguata: quando eri sicuro, in genere avevi ragione. Usa il dubbio come strumento per migliorare, non come blocco.</t>
        </is>
      </c>
      <c r="G82" s="2">
        <f>SQRT(($Lookup.$B$4*(B82-$Lookup.$B$2))^2 + (E82-$Lookup.$B$3)^2)</f>
        <v/>
      </c>
      <c r="H82" s="3" t="inlineStr">
        <is>
          <t>Buono (competenza in crescita) — Buona consapevolezza (discrimini abbastanza bene)</t>
        </is>
      </c>
      <c r="I82" s="3" t="inlineStr">
        <is>
          <t>Individua 2 argomenti dove eri incerto e costruisci una scheda: definizione + esempio + errore tipico.</t>
        </is>
      </c>
      <c r="J82" s="3" t="inlineStr">
        <is>
          <t>Allenati con domande simili e controlla se la tua sicurezza cresce quando la spiegazione è chiara.</t>
        </is>
      </c>
    </row>
    <row r="83">
      <c r="A83" s="2" t="n">
        <v>6.5</v>
      </c>
      <c r="B83" s="2" t="n">
        <v>65</v>
      </c>
      <c r="C83" s="4" t="inlineStr">
        <is>
          <t>Molto sopra spezzata</t>
        </is>
      </c>
      <c r="D83" s="2" t="inlineStr">
        <is>
          <t>VAB</t>
        </is>
      </c>
      <c r="E83" s="2" t="n">
        <v>150.8</v>
      </c>
      <c r="F83" s="3" t="inlineStr">
        <is>
          <t>Buon risultato e consapevolezza adeguata: quando eri sicuro, in genere avevi ragione. Usa il dubbio come strumento per migliorare, non come blocco.</t>
        </is>
      </c>
      <c r="G83" s="2">
        <f>SQRT(($Lookup.$B$4*(B83-$Lookup.$B$2))^2 + (E83-$Lookup.$B$3)^2)</f>
        <v/>
      </c>
      <c r="H83" s="3" t="inlineStr">
        <is>
          <t>Buono (competenza in crescita) — Buona consapevolezza (discrimini abbastanza bene)</t>
        </is>
      </c>
      <c r="I83" s="3" t="inlineStr">
        <is>
          <t>Individua 2 argomenti dove eri incerto e costruisci una scheda: definizione + esempio + errore tipico.</t>
        </is>
      </c>
      <c r="J83" s="3" t="inlineStr">
        <is>
          <t>Allenati con domande simili e controlla se la tua sicurezza cresce quando la spiegazione è chiara.</t>
        </is>
      </c>
    </row>
    <row r="84">
      <c r="A84" s="2" t="n">
        <v>6.5</v>
      </c>
      <c r="B84" s="2" t="n">
        <v>65</v>
      </c>
      <c r="C84" s="4" t="inlineStr">
        <is>
          <t>Quasi sulla retta</t>
        </is>
      </c>
      <c r="D84" s="2" t="inlineStr">
        <is>
          <t>NI</t>
        </is>
      </c>
      <c r="E84" s="2" t="n">
        <v>182</v>
      </c>
      <c r="F84" s="3" t="inlineStr">
        <is>
          <t>Buon risultato con ottima consapevolezza: sai bene dove sei affidabile e dove no. Perfetto per uno studio mirato e per fare il salto verso l’eccellenza.</t>
        </is>
      </c>
      <c r="G84" s="2">
        <f>SQRT(($Lookup.$B$4*(B84-$Lookup.$B$2))^2 + (E84-$Lookup.$B$3)^2)</f>
        <v/>
      </c>
      <c r="H84" s="3" t="inlineStr">
        <is>
          <t>Buono (competenza in crescita) — Consapevolezza alta (calibrazione molto buona)</t>
        </is>
      </c>
      <c r="I84" s="3" t="inlineStr">
        <is>
          <t>Mantieni la strategia: prima ragionamento, poi scelta della sicurezza (non il contrario).</t>
        </is>
      </c>
      <c r="J84" s="3" t="inlineStr">
        <is>
          <t>Prova esercizi di trasferimento (nuovi contesti): se resti calibrato anche lì, hai davvero consolidato.</t>
        </is>
      </c>
    </row>
    <row r="85">
      <c r="A85" s="2" t="n">
        <v>6.5</v>
      </c>
      <c r="B85" s="2" t="n">
        <v>65</v>
      </c>
      <c r="C85" s="4" t="inlineStr">
        <is>
          <t>Sulla retta (ideale)</t>
        </is>
      </c>
      <c r="D85" s="2" t="inlineStr">
        <is>
          <t>I</t>
        </is>
      </c>
      <c r="E85" s="2" t="n">
        <v>195</v>
      </c>
      <c r="F85" s="3" t="inlineStr">
        <is>
          <t>Buon risultato con ottima consapevolezza: sai bene dove sei affidabile e dove no. Perfetto per uno studio mirato e per fare il salto verso l’eccellenza.</t>
        </is>
      </c>
      <c r="G85" s="2">
        <f>SQRT(($Lookup.$B$4*(B85-$Lookup.$B$2))^2 + (E85-$Lookup.$B$3)^2)</f>
        <v/>
      </c>
      <c r="H85" s="3" t="inlineStr">
        <is>
          <t>Buono (competenza in crescita) — Consapevolezza alta (calibrazione molto buona)</t>
        </is>
      </c>
      <c r="I85" s="3" t="inlineStr">
        <is>
          <t>Mantieni la strategia: prima ragionamento, poi scelta della sicurezza (non il contrario).</t>
        </is>
      </c>
      <c r="J85" s="3" t="inlineStr">
        <is>
          <t>Prova esercizi di trasferimento (nuovi contesti): se resti calibrato anche lì, hai davvero consolidato.</t>
        </is>
      </c>
    </row>
    <row r="86">
      <c r="A86" s="2" t="n">
        <v>7</v>
      </c>
      <c r="B86" s="2" t="n">
        <v>70</v>
      </c>
      <c r="C86" s="4" t="inlineStr">
        <is>
          <t>Molto sotto spezzata</t>
        </is>
      </c>
      <c r="D86" s="2" t="inlineStr">
        <is>
          <t>VBL</t>
        </is>
      </c>
      <c r="E86" s="2" t="n">
        <v>33.8</v>
      </c>
      <c r="F86" s="3" t="inlineStr">
        <is>
          <t>Buon numero di risposte giuste, ma sicurezza spesso incoerente: possibile qualche misconcezione. Focalizzati sugli errori fatti con alta sicurezza e ricostruisci il ragionamento.</t>
        </is>
      </c>
      <c r="G86" s="2">
        <f>SQRT(($Lookup.$B$4*(B86-$Lookup.$B$2))^2 + (E86-$Lookup.$B$3)^2)</f>
        <v/>
      </c>
      <c r="H86" s="3" t="inlineStr">
        <is>
          <t>Buono (competenza in crescita) — Possibili misconcezioni (errori con alta sicurezza)</t>
        </is>
      </c>
      <c r="I86" s="3" t="inlineStr">
        <is>
          <t>Rivedi le domande sbagliate in cui eri molto sicuro: riscrivi il ragionamento corretto (2-3 righe).</t>
        </is>
      </c>
      <c r="J86" s="3" t="inlineStr">
        <is>
          <t>Fai 5 esercizi mirati sugli stessi concetti e, per ogni risposta, motiva il perché prima di scegliere la sicurezza.</t>
        </is>
      </c>
    </row>
    <row r="87">
      <c r="A87" s="2" t="n">
        <v>7</v>
      </c>
      <c r="B87" s="2" t="n">
        <v>70</v>
      </c>
      <c r="C87" s="4" t="inlineStr">
        <is>
          <t>Sotto spezzata</t>
        </is>
      </c>
      <c r="D87" s="2" t="inlineStr">
        <is>
          <t>BL</t>
        </is>
      </c>
      <c r="E87" s="2" t="n">
        <v>56.9</v>
      </c>
      <c r="F87" s="3" t="inlineStr">
        <is>
          <t>Buon numero di risposte giuste, ma sicurezza spesso incoerente: possibile qualche misconcezione. Focalizzati sugli errori fatti con alta sicurezza e ricostruisci il ragionamento.</t>
        </is>
      </c>
      <c r="G87" s="2">
        <f>SQRT(($Lookup.$B$4*(B87-$Lookup.$B$2))^2 + (E87-$Lookup.$B$3)^2)</f>
        <v/>
      </c>
      <c r="H87" s="3" t="inlineStr">
        <is>
          <t>Buono (competenza in crescita) — Possibili misconcezioni (errori con alta sicurezza)</t>
        </is>
      </c>
      <c r="I87" s="3" t="inlineStr">
        <is>
          <t>Rivedi le domande sbagliate in cui eri molto sicuro: riscrivi il ragionamento corretto (2-3 righe).</t>
        </is>
      </c>
      <c r="J87" s="3" t="inlineStr">
        <is>
          <t>Fai 5 esercizi mirati sugli stessi concetti e, per ogni risposta, motiva il perché prima di scegliere la sicurezza.</t>
        </is>
      </c>
    </row>
    <row r="88">
      <c r="A88" s="2" t="n">
        <v>7</v>
      </c>
      <c r="B88" s="2" t="n">
        <v>70</v>
      </c>
      <c r="C88" s="4" t="inlineStr">
        <is>
          <t>Sulla spezzata</t>
        </is>
      </c>
      <c r="D88" s="2" t="inlineStr">
        <is>
          <t>S</t>
        </is>
      </c>
      <c r="E88" s="2" t="n">
        <v>80</v>
      </c>
      <c r="F88" s="3" t="inlineStr">
        <is>
          <t>Buono, ma un po' ‘freno a mano’: molte risposte corrette con poca sicurezza. Possibile sottostima: prova a spiegarti ad alta voce perché la risposta è giusta.</t>
        </is>
      </c>
      <c r="G88" s="2">
        <f>SQRT(($Lookup.$B$4*(B88-$Lookup.$B$2))^2 + (E88-$Lookup.$B$3)^2)</f>
        <v/>
      </c>
      <c r="H88" s="3" t="inlineStr">
        <is>
          <t>Buono (competenza in crescita) — Consapevolezza minima (prudenza / poca discriminazione)</t>
        </is>
      </c>
      <c r="I88" s="3" t="inlineStr">
        <is>
          <t>Per 3 risposte corrette a scelta, scrivi una mini-giustificazione: «perché è vera?» (massimo 2 righe).</t>
        </is>
      </c>
      <c r="J88" s="3" t="inlineStr">
        <is>
          <t>Nel prossimo quiz, evita di mettere sempre la stessa sicurezza: prova a differenziare (almeno 2 livelli diversi).</t>
        </is>
      </c>
    </row>
    <row r="89">
      <c r="A89" s="2" t="n">
        <v>7</v>
      </c>
      <c r="B89" s="2" t="n">
        <v>70</v>
      </c>
      <c r="C89" s="4" t="inlineStr">
        <is>
          <t>Sopra spezzata</t>
        </is>
      </c>
      <c r="D89" s="2" t="inlineStr">
        <is>
          <t>AB</t>
        </is>
      </c>
      <c r="E89" s="2" t="n">
        <v>122.9</v>
      </c>
      <c r="F89" s="3" t="inlineStr">
        <is>
          <t>Buon risultato e consapevolezza adeguata: quando eri sicuro, in genere avevi ragione. Usa il dubbio come strumento per migliorare, non come blocco.</t>
        </is>
      </c>
      <c r="G89" s="2">
        <f>SQRT(($Lookup.$B$4*(B89-$Lookup.$B$2))^2 + (E89-$Lookup.$B$3)^2)</f>
        <v/>
      </c>
      <c r="H89" s="3" t="inlineStr">
        <is>
          <t>Buono (competenza in crescita) — Buona consapevolezza (discrimini abbastanza bene)</t>
        </is>
      </c>
      <c r="I89" s="3" t="inlineStr">
        <is>
          <t>Individua 2 argomenti dove eri incerto e costruisci una scheda: definizione + esempio + errore tipico.</t>
        </is>
      </c>
      <c r="J89" s="3" t="inlineStr">
        <is>
          <t>Allenati con domande simili e controlla se la tua sicurezza cresce quando la spiegazione è chiara.</t>
        </is>
      </c>
    </row>
    <row r="90">
      <c r="A90" s="2" t="n">
        <v>7</v>
      </c>
      <c r="B90" s="2" t="n">
        <v>70</v>
      </c>
      <c r="C90" s="4" t="inlineStr">
        <is>
          <t>Molto sopra spezzata</t>
        </is>
      </c>
      <c r="D90" s="2" t="inlineStr">
        <is>
          <t>VAB</t>
        </is>
      </c>
      <c r="E90" s="2" t="n">
        <v>165.8</v>
      </c>
      <c r="F90" s="3" t="inlineStr">
        <is>
          <t>Buon risultato e consapevolezza adeguata: quando eri sicuro, in genere avevi ragione. Usa il dubbio come strumento per migliorare, non come blocco.</t>
        </is>
      </c>
      <c r="G90" s="2">
        <f>SQRT(($Lookup.$B$4*(B90-$Lookup.$B$2))^2 + (E90-$Lookup.$B$3)^2)</f>
        <v/>
      </c>
      <c r="H90" s="3" t="inlineStr">
        <is>
          <t>Buono (competenza in crescita) — Buona consapevolezza (discrimini abbastanza bene)</t>
        </is>
      </c>
      <c r="I90" s="3" t="inlineStr">
        <is>
          <t>Individua 2 argomenti dove eri incerto e costruisci una scheda: definizione + esempio + errore tipico.</t>
        </is>
      </c>
      <c r="J90" s="3" t="inlineStr">
        <is>
          <t>Allenati con domande simili e controlla se la tua sicurezza cresce quando la spiegazione è chiara.</t>
        </is>
      </c>
    </row>
    <row r="91">
      <c r="A91" s="2" t="n">
        <v>7</v>
      </c>
      <c r="B91" s="2" t="n">
        <v>70</v>
      </c>
      <c r="C91" s="4" t="inlineStr">
        <is>
          <t>Quasi sulla retta</t>
        </is>
      </c>
      <c r="D91" s="2" t="inlineStr">
        <is>
          <t>NI</t>
        </is>
      </c>
      <c r="E91" s="2" t="n">
        <v>197</v>
      </c>
      <c r="F91" s="3" t="inlineStr">
        <is>
          <t>Buon risultato con ottima consapevolezza: sai bene dove sei affidabile e dove no. Perfetto per uno studio mirato e per fare il salto verso l’eccellenza.</t>
        </is>
      </c>
      <c r="G91" s="2">
        <f>SQRT(($Lookup.$B$4*(B91-$Lookup.$B$2))^2 + (E91-$Lookup.$B$3)^2)</f>
        <v/>
      </c>
      <c r="H91" s="3" t="inlineStr">
        <is>
          <t>Buono (competenza in crescita) — Consapevolezza alta (calibrazione molto buona)</t>
        </is>
      </c>
      <c r="I91" s="3" t="inlineStr">
        <is>
          <t>Mantieni la strategia: prima ragionamento, poi scelta della sicurezza (non il contrario).</t>
        </is>
      </c>
      <c r="J91" s="3" t="inlineStr">
        <is>
          <t>Prova esercizi di trasferimento (nuovi contesti): se resti calibrato anche lì, hai davvero consolidato.</t>
        </is>
      </c>
    </row>
    <row r="92">
      <c r="A92" s="2" t="n">
        <v>7</v>
      </c>
      <c r="B92" s="2" t="n">
        <v>70</v>
      </c>
      <c r="C92" s="4" t="inlineStr">
        <is>
          <t>Sulla retta (ideale)</t>
        </is>
      </c>
      <c r="D92" s="2" t="inlineStr">
        <is>
          <t>I</t>
        </is>
      </c>
      <c r="E92" s="2" t="n">
        <v>210</v>
      </c>
      <c r="F92" s="3" t="inlineStr">
        <is>
          <t>Buon risultato con ottima consapevolezza: sai bene dove sei affidabile e dove no. Perfetto per uno studio mirato e per fare il salto verso l’eccellenza.</t>
        </is>
      </c>
      <c r="G92" s="2">
        <f>SQRT(($Lookup.$B$4*(B92-$Lookup.$B$2))^2 + (E92-$Lookup.$B$3)^2)</f>
        <v/>
      </c>
      <c r="H92" s="3" t="inlineStr">
        <is>
          <t>Buono (competenza in crescita) — Consapevolezza alta (calibrazione molto buona)</t>
        </is>
      </c>
      <c r="I92" s="3" t="inlineStr">
        <is>
          <t>Mantieni la strategia: prima ragionamento, poi scelta della sicurezza (non il contrario).</t>
        </is>
      </c>
      <c r="J92" s="3" t="inlineStr">
        <is>
          <t>Prova esercizi di trasferimento (nuovi contesti): se resti calibrato anche lì, hai davvero consolidato.</t>
        </is>
      </c>
    </row>
    <row r="93">
      <c r="A93" s="2" t="n">
        <v>7.5</v>
      </c>
      <c r="B93" s="2" t="n">
        <v>75</v>
      </c>
      <c r="C93" s="4" t="inlineStr">
        <is>
          <t>Molto sotto spezzata</t>
        </is>
      </c>
      <c r="D93" s="2" t="inlineStr">
        <is>
          <t>VBL</t>
        </is>
      </c>
      <c r="E93" s="2" t="n">
        <v>43.9</v>
      </c>
      <c r="F93" s="3" t="inlineStr">
        <is>
          <t>Buon numero di risposte giuste, ma sicurezza spesso incoerente: possibile qualche misconcezione. Focalizzati sugli errori fatti con alta sicurezza e ricostruisci il ragionamento.</t>
        </is>
      </c>
      <c r="G93" s="2">
        <f>SQRT(($Lookup.$B$4*(B93-$Lookup.$B$2))^2 + (E93-$Lookup.$B$3)^2)</f>
        <v/>
      </c>
      <c r="H93" s="3" t="inlineStr">
        <is>
          <t>Buono (competenza in crescita) — Possibili misconcezioni (errori con alta sicurezza)</t>
        </is>
      </c>
      <c r="I93" s="3" t="inlineStr">
        <is>
          <t>Rivedi le domande sbagliate in cui eri molto sicuro: riscrivi il ragionamento corretto (2-3 righe).</t>
        </is>
      </c>
      <c r="J93" s="3" t="inlineStr">
        <is>
          <t>Fai 5 esercizi mirati sugli stessi concetti e, per ogni risposta, motiva il perché prima di scegliere la sicurezza.</t>
        </is>
      </c>
    </row>
    <row r="94">
      <c r="A94" s="2" t="n">
        <v>7.5</v>
      </c>
      <c r="B94" s="2" t="n">
        <v>75</v>
      </c>
      <c r="C94" s="4" t="inlineStr">
        <is>
          <t>Sotto spezzata</t>
        </is>
      </c>
      <c r="D94" s="2" t="inlineStr">
        <is>
          <t>BL</t>
        </is>
      </c>
      <c r="E94" s="2" t="n">
        <v>71.95</v>
      </c>
      <c r="F94" s="3" t="inlineStr">
        <is>
          <t>Buon numero di risposte giuste, ma sicurezza spesso incoerente: possibile qualche misconcezione. Focalizzati sugli errori fatti con alta sicurezza e ricostruisci il ragionamento.</t>
        </is>
      </c>
      <c r="G94" s="2">
        <f>SQRT(($Lookup.$B$4*(B94-$Lookup.$B$2))^2 + (E94-$Lookup.$B$3)^2)</f>
        <v/>
      </c>
      <c r="H94" s="3" t="inlineStr">
        <is>
          <t>Buono (competenza in crescita) — Possibili misconcezioni (errori con alta sicurezza)</t>
        </is>
      </c>
      <c r="I94" s="3" t="inlineStr">
        <is>
          <t>Rivedi le domande sbagliate in cui eri molto sicuro: riscrivi il ragionamento corretto (2-3 righe).</t>
        </is>
      </c>
      <c r="J94" s="3" t="inlineStr">
        <is>
          <t>Fai 5 esercizi mirati sugli stessi concetti e, per ogni risposta, motiva il perché prima di scegliere la sicurezza.</t>
        </is>
      </c>
    </row>
    <row r="95">
      <c r="A95" s="2" t="n">
        <v>7.5</v>
      </c>
      <c r="B95" s="2" t="n">
        <v>75</v>
      </c>
      <c r="C95" s="4" t="inlineStr">
        <is>
          <t>Sulla spezzata</t>
        </is>
      </c>
      <c r="D95" s="2" t="inlineStr">
        <is>
          <t>S</t>
        </is>
      </c>
      <c r="E95" s="2" t="n">
        <v>100</v>
      </c>
      <c r="F95" s="3" t="inlineStr">
        <is>
          <t>Buono, ma un po' ‘freno a mano’: molte risposte corrette con poca sicurezza. Possibile sottostima: prova a spiegarti ad alta voce perché la risposta è giusta.</t>
        </is>
      </c>
      <c r="G95" s="2">
        <f>SQRT(($Lookup.$B$4*(B95-$Lookup.$B$2))^2 + (E95-$Lookup.$B$3)^2)</f>
        <v/>
      </c>
      <c r="H95" s="3" t="inlineStr">
        <is>
          <t>Buono (competenza in crescita) — Consapevolezza minima (prudenza / poca discriminazione)</t>
        </is>
      </c>
      <c r="I95" s="3" t="inlineStr">
        <is>
          <t>Per 3 risposte corrette a scelta, scrivi una mini-giustificazione: «perché è vera?» (massimo 2 righe).</t>
        </is>
      </c>
      <c r="J95" s="3" t="inlineStr">
        <is>
          <t>Nel prossimo quiz, evita di mettere sempre la stessa sicurezza: prova a differenziare (almeno 2 livelli diversi).</t>
        </is>
      </c>
    </row>
    <row r="96">
      <c r="A96" s="2" t="n">
        <v>7.5</v>
      </c>
      <c r="B96" s="2" t="n">
        <v>75</v>
      </c>
      <c r="C96" s="4" t="inlineStr">
        <is>
          <t>Sopra spezzata</t>
        </is>
      </c>
      <c r="D96" s="2" t="inlineStr">
        <is>
          <t>AB</t>
        </is>
      </c>
      <c r="E96" s="2" t="n">
        <v>141.25</v>
      </c>
      <c r="F96" s="3" t="inlineStr">
        <is>
          <t>Buon risultato e consapevolezza adeguata: quando eri sicuro, in genere avevi ragione. Usa il dubbio come strumento per migliorare, non come blocco.</t>
        </is>
      </c>
      <c r="G96" s="2">
        <f>SQRT(($Lookup.$B$4*(B96-$Lookup.$B$2))^2 + (E96-$Lookup.$B$3)^2)</f>
        <v/>
      </c>
      <c r="H96" s="3" t="inlineStr">
        <is>
          <t>Buono (competenza in crescita) — Buona consapevolezza (discrimini abbastanza bene)</t>
        </is>
      </c>
      <c r="I96" s="3" t="inlineStr">
        <is>
          <t>Individua 2 argomenti dove eri incerto e costruisci una scheda: definizione + esempio + errore tipico.</t>
        </is>
      </c>
      <c r="J96" s="3" t="inlineStr">
        <is>
          <t>Allenati con domande simili e controlla se la tua sicurezza cresce quando la spiegazione è chiara.</t>
        </is>
      </c>
    </row>
    <row r="97">
      <c r="A97" s="2" t="n">
        <v>7.5</v>
      </c>
      <c r="B97" s="2" t="n">
        <v>75</v>
      </c>
      <c r="C97" s="4" t="inlineStr">
        <is>
          <t>Molto sopra spezzata</t>
        </is>
      </c>
      <c r="D97" s="2" t="inlineStr">
        <is>
          <t>VAB</t>
        </is>
      </c>
      <c r="E97" s="2" t="n">
        <v>182.5</v>
      </c>
      <c r="F97" s="3" t="inlineStr">
        <is>
          <t>Buon risultato e consapevolezza adeguata: quando eri sicuro, in genere avevi ragione. Usa il dubbio come strumento per migliorare, non come blocco.</t>
        </is>
      </c>
      <c r="G97" s="2">
        <f>SQRT(($Lookup.$B$4*(B97-$Lookup.$B$2))^2 + (E97-$Lookup.$B$3)^2)</f>
        <v/>
      </c>
      <c r="H97" s="3" t="inlineStr">
        <is>
          <t>Buono (competenza in crescita) — Buona consapevolezza (discrimini abbastanza bene)</t>
        </is>
      </c>
      <c r="I97" s="3" t="inlineStr">
        <is>
          <t>Individua 2 argomenti dove eri incerto e costruisci una scheda: definizione + esempio + errore tipico.</t>
        </is>
      </c>
      <c r="J97" s="3" t="inlineStr">
        <is>
          <t>Allenati con domande simili e controlla se la tua sicurezza cresce quando la spiegazione è chiara.</t>
        </is>
      </c>
    </row>
    <row r="98">
      <c r="A98" s="2" t="n">
        <v>7.5</v>
      </c>
      <c r="B98" s="2" t="n">
        <v>75</v>
      </c>
      <c r="C98" s="4" t="inlineStr">
        <is>
          <t>Quasi sulla retta</t>
        </is>
      </c>
      <c r="D98" s="2" t="inlineStr">
        <is>
          <t>NI</t>
        </is>
      </c>
      <c r="E98" s="2" t="n">
        <v>212.5</v>
      </c>
      <c r="F98" s="3" t="inlineStr">
        <is>
          <t>Buon risultato con ottima consapevolezza: sai bene dove sei affidabile e dove no. Perfetto per uno studio mirato e per fare il salto verso l’eccellenza.</t>
        </is>
      </c>
      <c r="G98" s="2">
        <f>SQRT(($Lookup.$B$4*(B98-$Lookup.$B$2))^2 + (E98-$Lookup.$B$3)^2)</f>
        <v/>
      </c>
      <c r="H98" s="3" t="inlineStr">
        <is>
          <t>Buono (competenza in crescita) — Consapevolezza alta (calibrazione molto buona)</t>
        </is>
      </c>
      <c r="I98" s="3" t="inlineStr">
        <is>
          <t>Mantieni la strategia: prima ragionamento, poi scelta della sicurezza (non il contrario).</t>
        </is>
      </c>
      <c r="J98" s="3" t="inlineStr">
        <is>
          <t>Prova esercizi di trasferimento (nuovi contesti): se resti calibrato anche lì, hai davvero consolidato.</t>
        </is>
      </c>
    </row>
    <row r="99">
      <c r="A99" s="2" t="n">
        <v>7.5</v>
      </c>
      <c r="B99" s="2" t="n">
        <v>75</v>
      </c>
      <c r="C99" s="4" t="inlineStr">
        <is>
          <t>Sulla retta (ideale)</t>
        </is>
      </c>
      <c r="D99" s="2" t="inlineStr">
        <is>
          <t>I</t>
        </is>
      </c>
      <c r="E99" s="2" t="n">
        <v>225</v>
      </c>
      <c r="F99" s="3" t="inlineStr">
        <is>
          <t>Buon risultato con ottima consapevolezza: sai bene dove sei affidabile e dove no. Perfetto per uno studio mirato e per fare il salto verso l’eccellenza.</t>
        </is>
      </c>
      <c r="G99" s="2">
        <f>SQRT(($Lookup.$B$4*(B99-$Lookup.$B$2))^2 + (E99-$Lookup.$B$3)^2)</f>
        <v/>
      </c>
      <c r="H99" s="3" t="inlineStr">
        <is>
          <t>Buono (competenza in crescita) — Consapevolezza alta (calibrazione molto buona)</t>
        </is>
      </c>
      <c r="I99" s="3" t="inlineStr">
        <is>
          <t>Mantieni la strategia: prima ragionamento, poi scelta della sicurezza (non il contrario).</t>
        </is>
      </c>
      <c r="J99" s="3" t="inlineStr">
        <is>
          <t>Prova esercizi di trasferimento (nuovi contesti): se resti calibrato anche lì, hai davvero consolidato.</t>
        </is>
      </c>
    </row>
    <row r="100">
      <c r="A100" s="2" t="n">
        <v>8</v>
      </c>
      <c r="B100" s="2" t="n">
        <v>80</v>
      </c>
      <c r="C100" s="4" t="inlineStr">
        <is>
          <t>Molto sotto spezzata</t>
        </is>
      </c>
      <c r="D100" s="2" t="inlineStr">
        <is>
          <t>VBL</t>
        </is>
      </c>
      <c r="E100" s="2" t="n">
        <v>54</v>
      </c>
      <c r="F100" s="3" t="inlineStr">
        <is>
          <t>Buon numero di risposte giuste, ma sicurezza spesso incoerente: possibile qualche misconcezione. Focalizzati sugli errori fatti con alta sicurezza e ricostruisci il ragionamento.</t>
        </is>
      </c>
      <c r="G100" s="2">
        <f>SQRT(($Lookup.$B$4*(B100-$Lookup.$B$2))^2 + (E100-$Lookup.$B$3)^2)</f>
        <v/>
      </c>
      <c r="H100" s="3" t="inlineStr">
        <is>
          <t>Buono (competenza in crescita) — Possibili misconcezioni (errori con alta sicurezza)</t>
        </is>
      </c>
      <c r="I100" s="3" t="inlineStr">
        <is>
          <t>Rivedi le domande sbagliate in cui eri molto sicuro: riscrivi il ragionamento corretto (2-3 righe).</t>
        </is>
      </c>
      <c r="J100" s="3" t="inlineStr">
        <is>
          <t>Fai 5 esercizi mirati sugli stessi concetti e, per ogni risposta, motiva il perché prima di scegliere la sicurezza.</t>
        </is>
      </c>
    </row>
    <row r="101">
      <c r="A101" s="2" t="n">
        <v>8</v>
      </c>
      <c r="B101" s="2" t="n">
        <v>80</v>
      </c>
      <c r="C101" s="4" t="inlineStr">
        <is>
          <t>Sotto spezzata</t>
        </is>
      </c>
      <c r="D101" s="2" t="inlineStr">
        <is>
          <t>BL</t>
        </is>
      </c>
      <c r="E101" s="2" t="n">
        <v>87</v>
      </c>
      <c r="F101" s="3" t="inlineStr">
        <is>
          <t>Buon numero di risposte giuste, ma sicurezza spesso incoerente: possibile qualche misconcezione. Focalizzati sugli errori fatti con alta sicurezza e ricostruisci il ragionamento.</t>
        </is>
      </c>
      <c r="G101" s="2">
        <f>SQRT(($Lookup.$B$4*(B101-$Lookup.$B$2))^2 + (E101-$Lookup.$B$3)^2)</f>
        <v/>
      </c>
      <c r="H101" s="3" t="inlineStr">
        <is>
          <t>Buono (competenza in crescita) — Possibili misconcezioni (errori con alta sicurezza)</t>
        </is>
      </c>
      <c r="I101" s="3" t="inlineStr">
        <is>
          <t>Rivedi le domande sbagliate in cui eri molto sicuro: riscrivi il ragionamento corretto (2-3 righe).</t>
        </is>
      </c>
      <c r="J101" s="3" t="inlineStr">
        <is>
          <t>Fai 5 esercizi mirati sugli stessi concetti e, per ogni risposta, motiva il perché prima di scegliere la sicurezza.</t>
        </is>
      </c>
    </row>
    <row r="102">
      <c r="A102" s="2" t="n">
        <v>8</v>
      </c>
      <c r="B102" s="2" t="n">
        <v>80</v>
      </c>
      <c r="C102" s="4" t="inlineStr">
        <is>
          <t>Sulla spezzata</t>
        </is>
      </c>
      <c r="D102" s="2" t="inlineStr">
        <is>
          <t>S</t>
        </is>
      </c>
      <c r="E102" s="2" t="n">
        <v>120</v>
      </c>
      <c r="F102" s="3" t="inlineStr">
        <is>
          <t>Buono, ma un po' ‘freno a mano’: molte risposte corrette con poca sicurezza. Possibile sottostima: prova a spiegarti ad alta voce perché la risposta è giusta.</t>
        </is>
      </c>
      <c r="G102" s="2">
        <f>SQRT(($Lookup.$B$4*(B102-$Lookup.$B$2))^2 + (E102-$Lookup.$B$3)^2)</f>
        <v/>
      </c>
      <c r="H102" s="3" t="inlineStr">
        <is>
          <t>Buono (competenza in crescita) — Consapevolezza minima (prudenza / poca discriminazione)</t>
        </is>
      </c>
      <c r="I102" s="3" t="inlineStr">
        <is>
          <t>Per 3 risposte corrette a scelta, scrivi una mini-giustificazione: «perché è vera?» (massimo 2 righe).</t>
        </is>
      </c>
      <c r="J102" s="3" t="inlineStr">
        <is>
          <t>Nel prossimo quiz, evita di mettere sempre la stessa sicurezza: prova a differenziare (almeno 2 livelli diversi).</t>
        </is>
      </c>
    </row>
    <row r="103">
      <c r="A103" s="2" t="n">
        <v>8</v>
      </c>
      <c r="B103" s="2" t="n">
        <v>80</v>
      </c>
      <c r="C103" s="4" t="inlineStr">
        <is>
          <t>Sopra spezzata</t>
        </is>
      </c>
      <c r="D103" s="2" t="inlineStr">
        <is>
          <t>AB</t>
        </is>
      </c>
      <c r="E103" s="2" t="n">
        <v>159.6</v>
      </c>
      <c r="F103" s="3" t="inlineStr">
        <is>
          <t>Buon risultato e consapevolezza adeguata: quando eri sicuro, in genere avevi ragione. Usa il dubbio come strumento per migliorare, non come blocco.</t>
        </is>
      </c>
      <c r="G103" s="2">
        <f>SQRT(($Lookup.$B$4*(B103-$Lookup.$B$2))^2 + (E103-$Lookup.$B$3)^2)</f>
        <v/>
      </c>
      <c r="H103" s="3" t="inlineStr">
        <is>
          <t>Buono (competenza in crescita) — Buona consapevolezza (discrimini abbastanza bene)</t>
        </is>
      </c>
      <c r="I103" s="3" t="inlineStr">
        <is>
          <t>Individua 2 argomenti dove eri incerto e costruisci una scheda: definizione + esempio + errore tipico.</t>
        </is>
      </c>
      <c r="J103" s="3" t="inlineStr">
        <is>
          <t>Allenati con domande simili e controlla se la tua sicurezza cresce quando la spiegazione è chiara.</t>
        </is>
      </c>
    </row>
    <row r="104">
      <c r="A104" s="2" t="n">
        <v>8</v>
      </c>
      <c r="B104" s="2" t="n">
        <v>80</v>
      </c>
      <c r="C104" s="4" t="inlineStr">
        <is>
          <t>Molto sopra spezzata</t>
        </is>
      </c>
      <c r="D104" s="2" t="inlineStr">
        <is>
          <t>VAB</t>
        </is>
      </c>
      <c r="E104" s="2" t="n">
        <v>199.2</v>
      </c>
      <c r="F104" s="3" t="inlineStr">
        <is>
          <t>Buon risultato e consapevolezza adeguata: quando eri sicuro, in genere avevi ragione. Usa il dubbio come strumento per migliorare, non come blocco.</t>
        </is>
      </c>
      <c r="G104" s="2">
        <f>SQRT(($Lookup.$B$4*(B104-$Lookup.$B$2))^2 + (E104-$Lookup.$B$3)^2)</f>
        <v/>
      </c>
      <c r="H104" s="3" t="inlineStr">
        <is>
          <t>Buono (competenza in crescita) — Buona consapevolezza (discrimini abbastanza bene)</t>
        </is>
      </c>
      <c r="I104" s="3" t="inlineStr">
        <is>
          <t>Individua 2 argomenti dove eri incerto e costruisci una scheda: definizione + esempio + errore tipico.</t>
        </is>
      </c>
      <c r="J104" s="3" t="inlineStr">
        <is>
          <t>Allenati con domande simili e controlla se la tua sicurezza cresce quando la spiegazione è chiara.</t>
        </is>
      </c>
    </row>
    <row r="105">
      <c r="A105" s="2" t="n">
        <v>8</v>
      </c>
      <c r="B105" s="2" t="n">
        <v>80</v>
      </c>
      <c r="C105" s="4" t="inlineStr">
        <is>
          <t>Quasi sulla retta</t>
        </is>
      </c>
      <c r="D105" s="2" t="inlineStr">
        <is>
          <t>NI</t>
        </is>
      </c>
      <c r="E105" s="2" t="n">
        <v>228</v>
      </c>
      <c r="F105" s="3" t="inlineStr">
        <is>
          <t>Buon risultato con ottima consapevolezza: sai bene dove sei affidabile e dove no. Perfetto per uno studio mirato e per fare il salto verso l’eccellenza.</t>
        </is>
      </c>
      <c r="G105" s="2">
        <f>SQRT(($Lookup.$B$4*(B105-$Lookup.$B$2))^2 + (E105-$Lookup.$B$3)^2)</f>
        <v/>
      </c>
      <c r="H105" s="3" t="inlineStr">
        <is>
          <t>Buono (competenza in crescita) — Consapevolezza alta (calibrazione molto buona)</t>
        </is>
      </c>
      <c r="I105" s="3" t="inlineStr">
        <is>
          <t>Mantieni la strategia: prima ragionamento, poi scelta della sicurezza (non il contrario).</t>
        </is>
      </c>
      <c r="J105" s="3" t="inlineStr">
        <is>
          <t>Prova esercizi di trasferimento (nuovi contesti): se resti calibrato anche lì, hai davvero consolidato.</t>
        </is>
      </c>
    </row>
    <row r="106">
      <c r="A106" s="2" t="n">
        <v>8</v>
      </c>
      <c r="B106" s="2" t="n">
        <v>80</v>
      </c>
      <c r="C106" s="4" t="inlineStr">
        <is>
          <t>Sulla retta (ideale)</t>
        </is>
      </c>
      <c r="D106" s="2" t="inlineStr">
        <is>
          <t>I</t>
        </is>
      </c>
      <c r="E106" s="2" t="n">
        <v>240</v>
      </c>
      <c r="F106" s="3" t="inlineStr">
        <is>
          <t>Buon risultato con ottima consapevolezza: sai bene dove sei affidabile e dove no. Perfetto per uno studio mirato e per fare il salto verso l’eccellenza.</t>
        </is>
      </c>
      <c r="G106" s="2">
        <f>SQRT(($Lookup.$B$4*(B106-$Lookup.$B$2))^2 + (E106-$Lookup.$B$3)^2)</f>
        <v/>
      </c>
      <c r="H106" s="3" t="inlineStr">
        <is>
          <t>Buono (competenza in crescita) — Consapevolezza alta (calibrazione molto buona)</t>
        </is>
      </c>
      <c r="I106" s="3" t="inlineStr">
        <is>
          <t>Mantieni la strategia: prima ragionamento, poi scelta della sicurezza (non il contrario).</t>
        </is>
      </c>
      <c r="J106" s="3" t="inlineStr">
        <is>
          <t>Prova esercizi di trasferimento (nuovi contesti): se resti calibrato anche lì, hai davvero consolidato.</t>
        </is>
      </c>
    </row>
    <row r="107">
      <c r="A107" s="2" t="n">
        <v>8.5</v>
      </c>
      <c r="B107" s="2" t="n">
        <v>85</v>
      </c>
      <c r="C107" s="4" t="inlineStr">
        <is>
          <t>Molto sotto spezzata</t>
        </is>
      </c>
      <c r="D107" s="2" t="inlineStr">
        <is>
          <t>VBL</t>
        </is>
      </c>
      <c r="E107" s="2" t="n">
        <v>72.59999999999999</v>
      </c>
      <c r="F107" s="3" t="inlineStr">
        <is>
          <t>Preparazione alta, ma sicurezza non sempre allineata: qualche ‘certezza sbagliata’ può farti inciampare. Controlla gli errori fatti con alta sicurezza e chiarisci i concetti.</t>
        </is>
      </c>
      <c r="G107" s="2">
        <f>SQRT(($Lookup.$B$4*(B107-$Lookup.$B$2))^2 + (E107-$Lookup.$B$3)^2)</f>
        <v/>
      </c>
      <c r="H107" s="3" t="inlineStr">
        <is>
          <t>Ottimo/Eccellente (padronanza alta) — Possibili misconcezioni (errori con alta sicurezza)</t>
        </is>
      </c>
      <c r="I107" s="3" t="inlineStr">
        <is>
          <t>Rivedi le domande sbagliate in cui eri molto sicuro: riscrivi il ragionamento corretto (2-3 righe).</t>
        </is>
      </c>
      <c r="J107" s="3" t="inlineStr">
        <is>
          <t>Fai 5 esercizi mirati sugli stessi concetti e, per ogni risposta, motiva il perché prima di scegliere la sicurezza.</t>
        </is>
      </c>
    </row>
    <row r="108">
      <c r="A108" s="2" t="n">
        <v>8.5</v>
      </c>
      <c r="B108" s="2" t="n">
        <v>85</v>
      </c>
      <c r="C108" s="4" t="inlineStr">
        <is>
          <t>Sotto spezzata</t>
        </is>
      </c>
      <c r="D108" s="2" t="inlineStr">
        <is>
          <t>BL</t>
        </is>
      </c>
      <c r="E108" s="2" t="n">
        <v>118.8</v>
      </c>
      <c r="F108" s="3" t="inlineStr">
        <is>
          <t>Preparazione alta, ma sicurezza non sempre allineata: qualche ‘certezza sbagliata’ può farti inciampare. Controlla gli errori fatti con alta sicurezza e chiarisci i concetti.</t>
        </is>
      </c>
      <c r="G108" s="2">
        <f>SQRT(($Lookup.$B$4*(B108-$Lookup.$B$2))^2 + (E108-$Lookup.$B$3)^2)</f>
        <v/>
      </c>
      <c r="H108" s="3" t="inlineStr">
        <is>
          <t>Ottimo/Eccellente (padronanza alta) — Possibili misconcezioni (errori con alta sicurezza)</t>
        </is>
      </c>
      <c r="I108" s="3" t="inlineStr">
        <is>
          <t>Rivedi le domande sbagliate in cui eri molto sicuro: riscrivi il ragionamento corretto (2-3 righe).</t>
        </is>
      </c>
      <c r="J108" s="3" t="inlineStr">
        <is>
          <t>Fai 5 esercizi mirati sugli stessi concetti e, per ogni risposta, motiva il perché prima di scegliere la sicurezza.</t>
        </is>
      </c>
    </row>
    <row r="109">
      <c r="A109" s="2" t="n">
        <v>8.5</v>
      </c>
      <c r="B109" s="2" t="n">
        <v>85</v>
      </c>
      <c r="C109" s="4" t="inlineStr">
        <is>
          <t>Sulla spezzata</t>
        </is>
      </c>
      <c r="D109" s="2" t="inlineStr">
        <is>
          <t>S</t>
        </is>
      </c>
      <c r="E109" s="2" t="n">
        <v>165</v>
      </c>
      <c r="F109" s="3" t="inlineStr">
        <is>
          <t>Risultato alto, ma molta prudenza: forse ti sottovaluti (o sei troppo severo con te stesso). Quando hai ragione, concediti un po’ di fiducia.</t>
        </is>
      </c>
      <c r="G109" s="2">
        <f>SQRT(($Lookup.$B$4*(B109-$Lookup.$B$2))^2 + (E109-$Lookup.$B$3)^2)</f>
        <v/>
      </c>
      <c r="H109" s="3" t="inlineStr">
        <is>
          <t>Ottimo/Eccellente (padronanza alta) — Prestazione alta con prudenza (possibile sottostima)</t>
        </is>
      </c>
      <c r="I109" s="3" t="inlineStr">
        <is>
          <t>Hai le conoscenze: prova a fidarti di più quando il ragionamento è solido (spiega a te stesso il perché).</t>
        </is>
      </c>
      <c r="J109" s="3" t="inlineStr">
        <is>
          <t>Perfeziona con 3 esercizi più difficili o con nuovi esempi: l'obiettivo è restare calibrato.</t>
        </is>
      </c>
    </row>
    <row r="110">
      <c r="A110" s="2" t="n">
        <v>8.5</v>
      </c>
      <c r="B110" s="2" t="n">
        <v>85</v>
      </c>
      <c r="C110" s="4" t="inlineStr">
        <is>
          <t>Sopra spezzata</t>
        </is>
      </c>
      <c r="D110" s="2" t="inlineStr">
        <is>
          <t>AB</t>
        </is>
      </c>
      <c r="E110" s="2" t="n">
        <v>194.7</v>
      </c>
      <c r="F110" s="3" t="inlineStr">
        <is>
          <t>Ottimo: alta accuratezza e buona calibrazione. Stai usando bene la sicurezza come indicatore di affidabilità delle tue risposte.</t>
        </is>
      </c>
      <c r="G110" s="2">
        <f>SQRT(($Lookup.$B$4*(B110-$Lookup.$B$2))^2 + (E110-$Lookup.$B$3)^2)</f>
        <v/>
      </c>
      <c r="H110" s="3" t="inlineStr">
        <is>
          <t>Ottimo/Eccellente (padronanza alta) — Prestazione alta con prudenza (possibile sottostima)</t>
        </is>
      </c>
      <c r="I110" s="3" t="inlineStr">
        <is>
          <t>Hai le conoscenze: prova a fidarti di più quando il ragionamento è solido (spiega a te stesso il perché).</t>
        </is>
      </c>
      <c r="J110" s="3" t="inlineStr">
        <is>
          <t>Perfeziona con 3 esercizi più difficili o con nuovi esempi: l'obiettivo è restare calibrato.</t>
        </is>
      </c>
    </row>
    <row r="111">
      <c r="A111" s="2" t="n">
        <v>8.5</v>
      </c>
      <c r="B111" s="2" t="n">
        <v>85</v>
      </c>
      <c r="C111" s="4" t="inlineStr">
        <is>
          <t>Molto sopra spezzata</t>
        </is>
      </c>
      <c r="D111" s="2" t="inlineStr">
        <is>
          <t>VAB</t>
        </is>
      </c>
      <c r="E111" s="2" t="n">
        <v>224.4</v>
      </c>
      <c r="F111" s="3" t="inlineStr">
        <is>
          <t>Ottimo: alta accuratezza e buona calibrazione. Stai usando bene la sicurezza come indicatore di affidabilità delle tue risposte.</t>
        </is>
      </c>
      <c r="G111" s="2">
        <f>SQRT(($Lookup.$B$4*(B111-$Lookup.$B$2))^2 + (E111-$Lookup.$B$3)^2)</f>
        <v/>
      </c>
      <c r="H111" s="3" t="inlineStr">
        <is>
          <t>Ottimo/Eccellente (padronanza alta) — Prestazione alta con prudenza (possibile sottostima)</t>
        </is>
      </c>
      <c r="I111" s="3" t="inlineStr">
        <is>
          <t>Hai le conoscenze: prova a fidarti di più quando il ragionamento è solido (spiega a te stesso il perché).</t>
        </is>
      </c>
      <c r="J111" s="3" t="inlineStr">
        <is>
          <t>Perfeziona con 3 esercizi più difficili o con nuovi esempi: l'obiettivo è restare calibrato.</t>
        </is>
      </c>
    </row>
    <row r="112">
      <c r="A112" s="2" t="n">
        <v>8.5</v>
      </c>
      <c r="B112" s="2" t="n">
        <v>85</v>
      </c>
      <c r="C112" s="4" t="inlineStr">
        <is>
          <t>Quasi sulla retta</t>
        </is>
      </c>
      <c r="D112" s="2" t="inlineStr">
        <is>
          <t>NI</t>
        </is>
      </c>
      <c r="E112" s="2" t="n">
        <v>246</v>
      </c>
      <c r="F112" s="3" t="inlineStr">
        <is>
          <t>Eccellente: sei accurato e molto consapevole. Quando dici «sono sicuro», di solito puoi anche spiegare il perché: questo è l’obiettivo CBM.</t>
        </is>
      </c>
      <c r="G112" s="2">
        <f>SQRT(($Lookup.$B$4*(B112-$Lookup.$B$2))^2 + (E112-$Lookup.$B$3)^2)</f>
        <v/>
      </c>
      <c r="H112" s="3" t="inlineStr">
        <is>
          <t>Ottimo/Eccellente (padronanza alta) — Consapevolezza alta (calibrazione molto buona)</t>
        </is>
      </c>
      <c r="I112" s="3" t="inlineStr">
        <is>
          <t>Sfida extra: spiega un concetto a un compagno (o in un audio di 1 minuto) senza guardare appunti.</t>
        </is>
      </c>
      <c r="J112" s="3" t="inlineStr">
        <is>
          <t>Cerca 1 caso 'tranello' (errore tipico) e scrivi come riconoscerlo: diventi immune alle misconcezioni.</t>
        </is>
      </c>
    </row>
    <row r="113">
      <c r="A113" s="2" t="n">
        <v>8.5</v>
      </c>
      <c r="B113" s="2" t="n">
        <v>85</v>
      </c>
      <c r="C113" s="4" t="inlineStr">
        <is>
          <t>Sulla retta (ideale)</t>
        </is>
      </c>
      <c r="D113" s="2" t="inlineStr">
        <is>
          <t>I</t>
        </is>
      </c>
      <c r="E113" s="2" t="n">
        <v>255</v>
      </c>
      <c r="F113" s="3" t="inlineStr">
        <is>
          <t>Eccellente: sei accurato e molto consapevole. Quando dici «sono sicuro», di solito puoi anche spiegare il perché: questo è l’obiettivo CBM.</t>
        </is>
      </c>
      <c r="G113" s="2">
        <f>SQRT(($Lookup.$B$4*(B113-$Lookup.$B$2))^2 + (E113-$Lookup.$B$3)^2)</f>
        <v/>
      </c>
      <c r="H113" s="3" t="inlineStr">
        <is>
          <t>Ottimo/Eccellente (padronanza alta) — Consapevolezza alta (calibrazione molto buona)</t>
        </is>
      </c>
      <c r="I113" s="3" t="inlineStr">
        <is>
          <t>Sfida extra: spiega un concetto a un compagno (o in un audio di 1 minuto) senza guardare appunti.</t>
        </is>
      </c>
      <c r="J113" s="3" t="inlineStr">
        <is>
          <t>Cerca 1 caso 'tranello' (errore tipico) e scrivi come riconoscerlo: diventi immune alle misconcezioni.</t>
        </is>
      </c>
    </row>
    <row r="114">
      <c r="A114" s="2" t="n">
        <v>9</v>
      </c>
      <c r="B114" s="2" t="n">
        <v>90</v>
      </c>
      <c r="C114" s="4" t="inlineStr">
        <is>
          <t>Molto sotto spezzata</t>
        </is>
      </c>
      <c r="D114" s="2" t="inlineStr">
        <is>
          <t>VBL</t>
        </is>
      </c>
      <c r="E114" s="2" t="n">
        <v>91.2</v>
      </c>
      <c r="F114" s="3" t="inlineStr">
        <is>
          <t>Preparazione alta, ma sicurezza non sempre allineata: qualche ‘certezza sbagliata’ può farti inciampare. Controlla gli errori fatti con alta sicurezza e chiarisci i concetti.</t>
        </is>
      </c>
      <c r="G114" s="2">
        <f>SQRT(($Lookup.$B$4*(B114-$Lookup.$B$2))^2 + (E114-$Lookup.$B$3)^2)</f>
        <v/>
      </c>
      <c r="H114" s="3" t="inlineStr">
        <is>
          <t>Ottimo/Eccellente (padronanza alta) — Possibili misconcezioni (errori con alta sicurezza)</t>
        </is>
      </c>
      <c r="I114" s="3" t="inlineStr">
        <is>
          <t>Rivedi le domande sbagliate in cui eri molto sicuro: riscrivi il ragionamento corretto (2-3 righe).</t>
        </is>
      </c>
      <c r="J114" s="3" t="inlineStr">
        <is>
          <t>Fai 5 esercizi mirati sugli stessi concetti e, per ogni risposta, motiva il perché prima di scegliere la sicurezza.</t>
        </is>
      </c>
    </row>
    <row r="115">
      <c r="A115" s="2" t="n">
        <v>9</v>
      </c>
      <c r="B115" s="2" t="n">
        <v>90</v>
      </c>
      <c r="C115" s="4" t="inlineStr">
        <is>
          <t>Sotto spezzata</t>
        </is>
      </c>
      <c r="D115" s="2" t="inlineStr">
        <is>
          <t>BL</t>
        </is>
      </c>
      <c r="E115" s="2" t="n">
        <v>150.6</v>
      </c>
      <c r="F115" s="3" t="inlineStr">
        <is>
          <t>Preparazione alta, ma sicurezza non sempre allineata: qualche ‘certezza sbagliata’ può farti inciampare. Controlla gli errori fatti con alta sicurezza e chiarisci i concetti.</t>
        </is>
      </c>
      <c r="G115" s="2">
        <f>SQRT(($Lookup.$B$4*(B115-$Lookup.$B$2))^2 + (E115-$Lookup.$B$3)^2)</f>
        <v/>
      </c>
      <c r="H115" s="3" t="inlineStr">
        <is>
          <t>Ottimo/Eccellente (padronanza alta) — Possibili misconcezioni (errori con alta sicurezza)</t>
        </is>
      </c>
      <c r="I115" s="3" t="inlineStr">
        <is>
          <t>Rivedi le domande sbagliate in cui eri molto sicuro: riscrivi il ragionamento corretto (2-3 righe).</t>
        </is>
      </c>
      <c r="J115" s="3" t="inlineStr">
        <is>
          <t>Fai 5 esercizi mirati sugli stessi concetti e, per ogni risposta, motiva il perché prima di scegliere la sicurezza.</t>
        </is>
      </c>
    </row>
    <row r="116">
      <c r="A116" s="2" t="n">
        <v>9</v>
      </c>
      <c r="B116" s="2" t="n">
        <v>90</v>
      </c>
      <c r="C116" s="4" t="inlineStr">
        <is>
          <t>Sulla spezzata</t>
        </is>
      </c>
      <c r="D116" s="2" t="inlineStr">
        <is>
          <t>S</t>
        </is>
      </c>
      <c r="E116" s="2" t="n">
        <v>210</v>
      </c>
      <c r="F116" s="3" t="inlineStr">
        <is>
          <t>Risultato alto, ma molta prudenza: forse ti sottovaluti (o sei troppo severo con te stesso). Quando hai ragione, concediti un po’ di fiducia.</t>
        </is>
      </c>
      <c r="G116" s="2">
        <f>SQRT(($Lookup.$B$4*(B116-$Lookup.$B$2))^2 + (E116-$Lookup.$B$3)^2)</f>
        <v/>
      </c>
      <c r="H116" s="3" t="inlineStr">
        <is>
          <t>Ottimo/Eccellente (padronanza alta) — Prestazione alta con prudenza (possibile sottostima)</t>
        </is>
      </c>
      <c r="I116" s="3" t="inlineStr">
        <is>
          <t>Hai le conoscenze: prova a fidarti di più quando il ragionamento è solido (spiega a te stesso il perché).</t>
        </is>
      </c>
      <c r="J116" s="3" t="inlineStr">
        <is>
          <t>Perfeziona con 3 esercizi più difficili o con nuovi esempi: l'obiettivo è restare calibrato.</t>
        </is>
      </c>
    </row>
    <row r="117">
      <c r="A117" s="2" t="n">
        <v>9</v>
      </c>
      <c r="B117" s="2" t="n">
        <v>90</v>
      </c>
      <c r="C117" s="4" t="inlineStr">
        <is>
          <t>Sopra spezzata</t>
        </is>
      </c>
      <c r="D117" s="2" t="inlineStr">
        <is>
          <t>AB</t>
        </is>
      </c>
      <c r="E117" s="2" t="n">
        <v>229.8</v>
      </c>
      <c r="F117" s="3" t="inlineStr">
        <is>
          <t>Ottimo: alta accuratezza e buona calibrazione. Stai usando bene la sicurezza come indicatore di affidabilità delle tue risposte.</t>
        </is>
      </c>
      <c r="G117" s="2">
        <f>SQRT(($Lookup.$B$4*(B117-$Lookup.$B$2))^2 + (E117-$Lookup.$B$3)^2)</f>
        <v/>
      </c>
      <c r="H117" s="3" t="inlineStr">
        <is>
          <t>Ottimo/Eccellente (padronanza alta) — Prestazione alta con prudenza (possibile sottostima)</t>
        </is>
      </c>
      <c r="I117" s="3" t="inlineStr">
        <is>
          <t>Hai le conoscenze: prova a fidarti di più quando il ragionamento è solido (spiega a te stesso il perché).</t>
        </is>
      </c>
      <c r="J117" s="3" t="inlineStr">
        <is>
          <t>Perfeziona con 3 esercizi più difficili o con nuovi esempi: l'obiettivo è restare calibrato.</t>
        </is>
      </c>
    </row>
    <row r="118">
      <c r="A118" s="2" t="n">
        <v>9</v>
      </c>
      <c r="B118" s="2" t="n">
        <v>90</v>
      </c>
      <c r="C118" s="4" t="inlineStr">
        <is>
          <t>Molto sopra spezzata</t>
        </is>
      </c>
      <c r="D118" s="2" t="inlineStr">
        <is>
          <t>VAB</t>
        </is>
      </c>
      <c r="E118" s="2" t="n">
        <v>249.6</v>
      </c>
      <c r="F118" s="3" t="inlineStr">
        <is>
          <t>Ottimo: alta accuratezza e buona calibrazione. Stai usando bene la sicurezza come indicatore di affidabilità delle tue risposte.</t>
        </is>
      </c>
      <c r="G118" s="2">
        <f>SQRT(($Lookup.$B$4*(B118-$Lookup.$B$2))^2 + (E118-$Lookup.$B$3)^2)</f>
        <v/>
      </c>
      <c r="H118" s="3" t="inlineStr">
        <is>
          <t>Ottimo/Eccellente (padronanza alta) — Prestazione alta con prudenza (possibile sottostima)</t>
        </is>
      </c>
      <c r="I118" s="3" t="inlineStr">
        <is>
          <t>Hai le conoscenze: prova a fidarti di più quando il ragionamento è solido (spiega a te stesso il perché).</t>
        </is>
      </c>
      <c r="J118" s="3" t="inlineStr">
        <is>
          <t>Perfeziona con 3 esercizi più difficili o con nuovi esempi: l'obiettivo è restare calibrato.</t>
        </is>
      </c>
    </row>
    <row r="119">
      <c r="A119" s="2" t="n">
        <v>9</v>
      </c>
      <c r="B119" s="2" t="n">
        <v>90</v>
      </c>
      <c r="C119" s="4" t="inlineStr">
        <is>
          <t>Quasi sulla retta</t>
        </is>
      </c>
      <c r="D119" s="2" t="inlineStr">
        <is>
          <t>NI</t>
        </is>
      </c>
      <c r="E119" s="2" t="n">
        <v>264</v>
      </c>
      <c r="F119" s="3" t="inlineStr">
        <is>
          <t>Eccellente: sei accurato e molto consapevole. Quando dici «sono sicuro», di solito puoi anche spiegare il perché: questo è l’obiettivo CBM.</t>
        </is>
      </c>
      <c r="G119" s="2">
        <f>SQRT(($Lookup.$B$4*(B119-$Lookup.$B$2))^2 + (E119-$Lookup.$B$3)^2)</f>
        <v/>
      </c>
      <c r="H119" s="3" t="inlineStr">
        <is>
          <t>Ottimo/Eccellente (padronanza alta) — Consapevolezza alta (calibrazione molto buona)</t>
        </is>
      </c>
      <c r="I119" s="3" t="inlineStr">
        <is>
          <t>Sfida extra: spiega un concetto a un compagno (o in un audio di 1 minuto) senza guardare appunti.</t>
        </is>
      </c>
      <c r="J119" s="3" t="inlineStr">
        <is>
          <t>Cerca 1 caso 'tranello' (errore tipico) e scrivi come riconoscerlo: diventi immune alle misconcezioni.</t>
        </is>
      </c>
    </row>
    <row r="120">
      <c r="A120" s="2" t="n">
        <v>9</v>
      </c>
      <c r="B120" s="2" t="n">
        <v>90</v>
      </c>
      <c r="C120" s="4" t="inlineStr">
        <is>
          <t>Sulla retta (ideale)</t>
        </is>
      </c>
      <c r="D120" s="2" t="inlineStr">
        <is>
          <t>I</t>
        </is>
      </c>
      <c r="E120" s="2" t="n">
        <v>270</v>
      </c>
      <c r="F120" s="3" t="inlineStr">
        <is>
          <t>Eccellente: sei accurato e molto consapevole. Quando dici «sono sicuro», di solito puoi anche spiegare il perché: questo è l’obiettivo CBM.</t>
        </is>
      </c>
      <c r="G120" s="2">
        <f>SQRT(($Lookup.$B$4*(B120-$Lookup.$B$2))^2 + (E120-$Lookup.$B$3)^2)</f>
        <v/>
      </c>
      <c r="H120" s="3" t="inlineStr">
        <is>
          <t>Ottimo/Eccellente (padronanza alta) — Consapevolezza alta (calibrazione molto buona)</t>
        </is>
      </c>
      <c r="I120" s="3" t="inlineStr">
        <is>
          <t>Sfida extra: spiega un concetto a un compagno (o in un audio di 1 minuto) senza guardare appunti.</t>
        </is>
      </c>
      <c r="J120" s="3" t="inlineStr">
        <is>
          <t>Cerca 1 caso 'tranello' (errore tipico) e scrivi come riconoscerlo: diventi immune alle misconcezioni.</t>
        </is>
      </c>
    </row>
    <row r="121">
      <c r="A121" s="2" t="n">
        <v>9.5</v>
      </c>
      <c r="B121" s="2" t="n">
        <v>95</v>
      </c>
      <c r="C121" s="4" t="inlineStr">
        <is>
          <t>Molto sotto spezzata</t>
        </is>
      </c>
      <c r="D121" s="2" t="inlineStr">
        <is>
          <t>VBL</t>
        </is>
      </c>
      <c r="E121" s="2" t="n">
        <v>109.8</v>
      </c>
      <c r="F121" s="3" t="inlineStr">
        <is>
          <t>Preparazione alta, ma sicurezza non sempre allineata: qualche ‘certezza sbagliata’ può farti inciampare. Controlla gli errori fatti con alta sicurezza e chiarisci i concetti.</t>
        </is>
      </c>
      <c r="G121" s="2">
        <f>SQRT(($Lookup.$B$4*(B121-$Lookup.$B$2))^2 + (E121-$Lookup.$B$3)^2)</f>
        <v/>
      </c>
      <c r="H121" s="3" t="inlineStr">
        <is>
          <t>Ottimo/Eccellente (padronanza alta) — Possibili misconcezioni (errori con alta sicurezza)</t>
        </is>
      </c>
      <c r="I121" s="3" t="inlineStr">
        <is>
          <t>Rivedi le domande sbagliate in cui eri molto sicuro: riscrivi il ragionamento corretto (2-3 righe).</t>
        </is>
      </c>
      <c r="J121" s="3" t="inlineStr">
        <is>
          <t>Fai 5 esercizi mirati sugli stessi concetti e, per ogni risposta, motiva il perché prima di scegliere la sicurezza.</t>
        </is>
      </c>
    </row>
    <row r="122">
      <c r="A122" s="2" t="n">
        <v>9.5</v>
      </c>
      <c r="B122" s="2" t="n">
        <v>95</v>
      </c>
      <c r="C122" s="4" t="inlineStr">
        <is>
          <t>Sotto spezzata</t>
        </is>
      </c>
      <c r="D122" s="2" t="inlineStr">
        <is>
          <t>BL</t>
        </is>
      </c>
      <c r="E122" s="2" t="n">
        <v>182.4</v>
      </c>
      <c r="F122" s="3" t="inlineStr">
        <is>
          <t>Preparazione alta, ma sicurezza non sempre allineata: qualche ‘certezza sbagliata’ può farti inciampare. Controlla gli errori fatti con alta sicurezza e chiarisci i concetti.</t>
        </is>
      </c>
      <c r="G122" s="2">
        <f>SQRT(($Lookup.$B$4*(B122-$Lookup.$B$2))^2 + (E122-$Lookup.$B$3)^2)</f>
        <v/>
      </c>
      <c r="H122" s="3" t="inlineStr">
        <is>
          <t>Ottimo/Eccellente (padronanza alta) — Possibili misconcezioni (errori con alta sicurezza)</t>
        </is>
      </c>
      <c r="I122" s="3" t="inlineStr">
        <is>
          <t>Rivedi le domande sbagliate in cui eri molto sicuro: riscrivi il ragionamento corretto (2-3 righe).</t>
        </is>
      </c>
      <c r="J122" s="3" t="inlineStr">
        <is>
          <t>Fai 5 esercizi mirati sugli stessi concetti e, per ogni risposta, motiva il perché prima di scegliere la sicurezza.</t>
        </is>
      </c>
    </row>
    <row r="123">
      <c r="A123" s="2" t="n">
        <v>9.5</v>
      </c>
      <c r="B123" s="2" t="n">
        <v>95</v>
      </c>
      <c r="C123" s="4" t="inlineStr">
        <is>
          <t>Sulla spezzata</t>
        </is>
      </c>
      <c r="D123" s="2" t="inlineStr">
        <is>
          <t>S</t>
        </is>
      </c>
      <c r="E123" s="2" t="n">
        <v>255</v>
      </c>
      <c r="F123" s="3" t="inlineStr">
        <is>
          <t>Risultato alto, ma molta prudenza: forse ti sottovaluti (o sei troppo severo con te stesso). Quando hai ragione, concediti un po’ di fiducia.</t>
        </is>
      </c>
      <c r="G123" s="2">
        <f>SQRT(($Lookup.$B$4*(B123-$Lookup.$B$2))^2 + (E123-$Lookup.$B$3)^2)</f>
        <v/>
      </c>
      <c r="H123" s="3" t="inlineStr">
        <is>
          <t>Ottimo/Eccellente (padronanza alta) — Prestazione alta con prudenza (possibile sottostima)</t>
        </is>
      </c>
      <c r="I123" s="3" t="inlineStr">
        <is>
          <t>Hai le conoscenze: prova a fidarti di più quando il ragionamento è solido (spiega a te stesso il perché).</t>
        </is>
      </c>
      <c r="J123" s="3" t="inlineStr">
        <is>
          <t>Perfeziona con 3 esercizi più difficili o con nuovi esempi: l'obiettivo è restare calibrato.</t>
        </is>
      </c>
    </row>
    <row r="124">
      <c r="A124" s="2" t="n">
        <v>9.5</v>
      </c>
      <c r="B124" s="2" t="n">
        <v>95</v>
      </c>
      <c r="C124" s="4" t="inlineStr">
        <is>
          <t>Sopra spezzata</t>
        </is>
      </c>
      <c r="D124" s="2" t="inlineStr">
        <is>
          <t>AB</t>
        </is>
      </c>
      <c r="E124" s="2" t="n">
        <v>264.9</v>
      </c>
      <c r="F124" s="3" t="inlineStr">
        <is>
          <t>Ottimo: alta accuratezza e buona calibrazione. Stai usando bene la sicurezza come indicatore di affidabilità delle tue risposte.</t>
        </is>
      </c>
      <c r="G124" s="2">
        <f>SQRT(($Lookup.$B$4*(B124-$Lookup.$B$2))^2 + (E124-$Lookup.$B$3)^2)</f>
        <v/>
      </c>
      <c r="H124" s="3" t="inlineStr">
        <is>
          <t>Ottimo/Eccellente (padronanza alta) — Prestazione alta con prudenza (possibile sottostima)</t>
        </is>
      </c>
      <c r="I124" s="3" t="inlineStr">
        <is>
          <t>Hai le conoscenze: prova a fidarti di più quando il ragionamento è solido (spiega a te stesso il perché).</t>
        </is>
      </c>
      <c r="J124" s="3" t="inlineStr">
        <is>
          <t>Perfeziona con 3 esercizi più difficili o con nuovi esempi: l'obiettivo è restare calibrato.</t>
        </is>
      </c>
    </row>
    <row r="125">
      <c r="A125" s="2" t="n">
        <v>9.5</v>
      </c>
      <c r="B125" s="2" t="n">
        <v>95</v>
      </c>
      <c r="C125" s="4" t="inlineStr">
        <is>
          <t>Molto sopra spezzata</t>
        </is>
      </c>
      <c r="D125" s="2" t="inlineStr">
        <is>
          <t>VAB</t>
        </is>
      </c>
      <c r="E125" s="2" t="n">
        <v>274.8</v>
      </c>
      <c r="F125" s="3" t="inlineStr">
        <is>
          <t>Ottimo: alta accuratezza e buona calibrazione. Stai usando bene la sicurezza come indicatore di affidabilità delle tue risposte.</t>
        </is>
      </c>
      <c r="G125" s="2">
        <f>SQRT(($Lookup.$B$4*(B125-$Lookup.$B$2))^2 + (E125-$Lookup.$B$3)^2)</f>
        <v/>
      </c>
      <c r="H125" s="3" t="inlineStr">
        <is>
          <t>Ottimo/Eccellente (padronanza alta) — Prestazione alta con prudenza (possibile sottostima)</t>
        </is>
      </c>
      <c r="I125" s="3" t="inlineStr">
        <is>
          <t>Hai le conoscenze: prova a fidarti di più quando il ragionamento è solido (spiega a te stesso il perché).</t>
        </is>
      </c>
      <c r="J125" s="3" t="inlineStr">
        <is>
          <t>Perfeziona con 3 esercizi più difficili o con nuovi esempi: l'obiettivo è restare calibrato.</t>
        </is>
      </c>
    </row>
    <row r="126">
      <c r="A126" s="2" t="n">
        <v>9.5</v>
      </c>
      <c r="B126" s="2" t="n">
        <v>95</v>
      </c>
      <c r="C126" s="4" t="inlineStr">
        <is>
          <t>Quasi sulla retta</t>
        </is>
      </c>
      <c r="D126" s="2" t="inlineStr">
        <is>
          <t>NI</t>
        </is>
      </c>
      <c r="E126" s="2" t="n">
        <v>282</v>
      </c>
      <c r="F126" s="3" t="inlineStr">
        <is>
          <t>Eccellente: sei accurato e molto consapevole. Quando dici «sono sicuro», di solito puoi anche spiegare il perché: questo è l’obiettivo CBM.</t>
        </is>
      </c>
      <c r="G126" s="2">
        <f>SQRT(($Lookup.$B$4*(B126-$Lookup.$B$2))^2 + (E126-$Lookup.$B$3)^2)</f>
        <v/>
      </c>
      <c r="H126" s="3" t="inlineStr">
        <is>
          <t>Ottimo/Eccellente (padronanza alta) — Consapevolezza alta (calibrazione molto buona)</t>
        </is>
      </c>
      <c r="I126" s="3" t="inlineStr">
        <is>
          <t>Sfida extra: spiega un concetto a un compagno (o in un audio di 1 minuto) senza guardare appunti.</t>
        </is>
      </c>
      <c r="J126" s="3" t="inlineStr">
        <is>
          <t>Cerca 1 caso 'tranello' (errore tipico) e scrivi come riconoscerlo: diventi immune alle misconcezioni.</t>
        </is>
      </c>
    </row>
    <row r="127">
      <c r="A127" s="2" t="n">
        <v>9.5</v>
      </c>
      <c r="B127" s="2" t="n">
        <v>95</v>
      </c>
      <c r="C127" s="4" t="inlineStr">
        <is>
          <t>Sulla retta (ideale)</t>
        </is>
      </c>
      <c r="D127" s="2" t="inlineStr">
        <is>
          <t>I</t>
        </is>
      </c>
      <c r="E127" s="2" t="n">
        <v>285</v>
      </c>
      <c r="F127" s="3" t="inlineStr">
        <is>
          <t>Eccellente: sei accurato e molto consapevole. Quando dici «sono sicuro», di solito puoi anche spiegare il perché: questo è l’obiettivo CBM.</t>
        </is>
      </c>
      <c r="G127" s="2">
        <f>SQRT(($Lookup.$B$4*(B127-$Lookup.$B$2))^2 + (E127-$Lookup.$B$3)^2)</f>
        <v/>
      </c>
      <c r="H127" s="3" t="inlineStr">
        <is>
          <t>Ottimo/Eccellente (padronanza alta) — Consapevolezza alta (calibrazione molto buona)</t>
        </is>
      </c>
      <c r="I127" s="3" t="inlineStr">
        <is>
          <t>Sfida extra: spiega un concetto a un compagno (o in un audio di 1 minuto) senza guardare appunti.</t>
        </is>
      </c>
      <c r="J127" s="3" t="inlineStr">
        <is>
          <t>Cerca 1 caso 'tranello' (errore tipico) e scrivi come riconoscerlo: diventi immune alle misconcezioni.</t>
        </is>
      </c>
    </row>
    <row r="128">
      <c r="A128" s="2" t="n">
        <v>10</v>
      </c>
      <c r="B128" s="2" t="n">
        <v>100</v>
      </c>
      <c r="C128" s="4" t="inlineStr">
        <is>
          <t>Molto sotto spezzata</t>
        </is>
      </c>
      <c r="D128" s="2" t="inlineStr">
        <is>
          <t>VBL</t>
        </is>
      </c>
      <c r="E128" s="2" t="n">
        <v>128.4</v>
      </c>
      <c r="F128" s="3" t="inlineStr">
        <is>
          <t>Preparazione alta, ma sicurezza non sempre allineata: qualche ‘certezza sbagliata’ può farti inciampare. Controlla gli errori fatti con alta sicurezza e chiarisci i concetti.</t>
        </is>
      </c>
      <c r="G128" s="2">
        <f>SQRT(($Lookup.$B$4*(B128-$Lookup.$B$2))^2 + (E128-$Lookup.$B$3)^2)</f>
        <v/>
      </c>
      <c r="H128" s="3" t="inlineStr">
        <is>
          <t>Ottimo/Eccellente (padronanza alta) — Possibili misconcezioni (errori con alta sicurezza)</t>
        </is>
      </c>
      <c r="I128" s="3" t="inlineStr">
        <is>
          <t>Rivedi le domande sbagliate in cui eri molto sicuro: riscrivi il ragionamento corretto (2-3 righe).</t>
        </is>
      </c>
      <c r="J128" s="3" t="inlineStr">
        <is>
          <t>Fai 5 esercizi mirati sugli stessi concetti e, per ogni risposta, motiva il perché prima di scegliere la sicurezza.</t>
        </is>
      </c>
    </row>
    <row r="129">
      <c r="A129" s="2" t="n">
        <v>10</v>
      </c>
      <c r="B129" s="2" t="n">
        <v>100</v>
      </c>
      <c r="C129" s="4" t="inlineStr">
        <is>
          <t>Sotto spezzata</t>
        </is>
      </c>
      <c r="D129" s="2" t="inlineStr">
        <is>
          <t>BL</t>
        </is>
      </c>
      <c r="E129" s="2" t="n">
        <v>214.2</v>
      </c>
      <c r="F129" s="3" t="inlineStr">
        <is>
          <t>Preparazione alta, ma sicurezza non sempre allineata: qualche ‘certezza sbagliata’ può farti inciampare. Controlla gli errori fatti con alta sicurezza e chiarisci i concetti.</t>
        </is>
      </c>
      <c r="G129" s="2">
        <f>SQRT(($Lookup.$B$4*(B129-$Lookup.$B$2))^2 + (E129-$Lookup.$B$3)^2)</f>
        <v/>
      </c>
      <c r="H129" s="3" t="inlineStr">
        <is>
          <t>Ottimo/Eccellente (padronanza alta) — Possibili misconcezioni (errori con alta sicurezza)</t>
        </is>
      </c>
      <c r="I129" s="3" t="inlineStr">
        <is>
          <t>Rivedi le domande sbagliate in cui eri molto sicuro: riscrivi il ragionamento corretto (2-3 righe).</t>
        </is>
      </c>
      <c r="J129" s="3" t="inlineStr">
        <is>
          <t>Fai 5 esercizi mirati sugli stessi concetti e, per ogni risposta, motiva il perché prima di scegliere la sicurezza.</t>
        </is>
      </c>
    </row>
    <row r="130">
      <c r="A130" s="2" t="n">
        <v>10</v>
      </c>
      <c r="B130" s="2" t="n">
        <v>100</v>
      </c>
      <c r="C130" s="4" t="inlineStr">
        <is>
          <t>Sulla spezzata</t>
        </is>
      </c>
      <c r="D130" s="2" t="inlineStr">
        <is>
          <t>S</t>
        </is>
      </c>
      <c r="E130" s="2" t="n">
        <v>300</v>
      </c>
      <c r="F130" s="3" t="inlineStr">
        <is>
          <t>Risultato alto, ma molta prudenza: forse ti sottovaluti (o sei troppo severo con te stesso). Quando hai ragione, concediti un po’ di fiducia.</t>
        </is>
      </c>
      <c r="G130" s="2">
        <f>SQRT(($Lookup.$B$4*(B130-$Lookup.$B$2))^2 + (E130-$Lookup.$B$3)^2)</f>
        <v/>
      </c>
      <c r="H130" s="3" t="inlineStr">
        <is>
          <t>Ottimo/Eccellente (padronanza alta) — Prestazione alta con prudenza (possibile sottostima)</t>
        </is>
      </c>
      <c r="I130" s="3" t="inlineStr">
        <is>
          <t>Hai le conoscenze: prova a fidarti di più quando il ragionamento è solido (spiega a te stesso il perché).</t>
        </is>
      </c>
      <c r="J130" s="3" t="inlineStr">
        <is>
          <t>Perfeziona con 3 esercizi più difficili o con nuovi esempi: l'obiettivo è restare calibrato.</t>
        </is>
      </c>
    </row>
    <row r="131">
      <c r="A131" s="2" t="n">
        <v>10</v>
      </c>
      <c r="B131" s="2" t="n">
        <v>100</v>
      </c>
      <c r="C131" s="4" t="inlineStr">
        <is>
          <t>Sopra spezzata</t>
        </is>
      </c>
      <c r="D131" s="2" t="inlineStr">
        <is>
          <t>AB</t>
        </is>
      </c>
      <c r="E131" s="2" t="n">
        <v>300</v>
      </c>
      <c r="F131" s="3" t="inlineStr">
        <is>
          <t>Ottimo: alta accuratezza e buona calibrazione. Stai usando bene la sicurezza come indicatore di affidabilità delle tue risposte.</t>
        </is>
      </c>
      <c r="G131" s="2">
        <f>SQRT(($Lookup.$B$4*(B131-$Lookup.$B$2))^2 + (E131-$Lookup.$B$3)^2)</f>
        <v/>
      </c>
      <c r="H131" s="3" t="inlineStr">
        <is>
          <t>Ottimo/Eccellente (padronanza alta) — Prestazione alta con prudenza (possibile sottostima)</t>
        </is>
      </c>
      <c r="I131" s="3" t="inlineStr">
        <is>
          <t>Hai le conoscenze: prova a fidarti di più quando il ragionamento è solido (spiega a te stesso il perché).</t>
        </is>
      </c>
      <c r="J131" s="3" t="inlineStr">
        <is>
          <t>Perfeziona con 3 esercizi più difficili o con nuovi esempi: l'obiettivo è restare calibrato.</t>
        </is>
      </c>
    </row>
    <row r="132">
      <c r="A132" s="2" t="n">
        <v>10</v>
      </c>
      <c r="B132" s="2" t="n">
        <v>100</v>
      </c>
      <c r="C132" s="4" t="inlineStr">
        <is>
          <t>Molto sopra spezzata</t>
        </is>
      </c>
      <c r="D132" s="2" t="inlineStr">
        <is>
          <t>VAB</t>
        </is>
      </c>
      <c r="E132" s="2" t="n">
        <v>300</v>
      </c>
      <c r="F132" s="3" t="inlineStr">
        <is>
          <t>Ottimo: alta accuratezza e buona calibrazione. Stai usando bene la sicurezza come indicatore di affidabilità delle tue risposte.</t>
        </is>
      </c>
      <c r="G132" s="2">
        <f>SQRT(($Lookup.$B$4*(B132-$Lookup.$B$2))^2 + (E132-$Lookup.$B$3)^2)</f>
        <v/>
      </c>
      <c r="H132" s="3" t="inlineStr">
        <is>
          <t>Ottimo/Eccellente (padronanza alta) — Prestazione alta con prudenza (possibile sottostima)</t>
        </is>
      </c>
      <c r="I132" s="3" t="inlineStr">
        <is>
          <t>Hai le conoscenze: prova a fidarti di più quando il ragionamento è solido (spiega a te stesso il perché).</t>
        </is>
      </c>
      <c r="J132" s="3" t="inlineStr">
        <is>
          <t>Perfeziona con 3 esercizi più difficili o con nuovi esempi: l'obiettivo è restare calibrato.</t>
        </is>
      </c>
    </row>
    <row r="133">
      <c r="A133" s="2" t="n">
        <v>10</v>
      </c>
      <c r="B133" s="2" t="n">
        <v>100</v>
      </c>
      <c r="C133" s="4" t="inlineStr">
        <is>
          <t>Quasi sulla retta</t>
        </is>
      </c>
      <c r="D133" s="2" t="inlineStr">
        <is>
          <t>NI</t>
        </is>
      </c>
      <c r="E133" s="2" t="n">
        <v>300</v>
      </c>
      <c r="F133" s="3" t="inlineStr">
        <is>
          <t>Eccellente: sei accurato e molto consapevole. Quando dici «sono sicuro», di solito puoi anche spiegare il perché: questo è l’obiettivo CBM.</t>
        </is>
      </c>
      <c r="G133" s="2">
        <f>SQRT(($Lookup.$B$4*(B133-$Lookup.$B$2))^2 + (E133-$Lookup.$B$3)^2)</f>
        <v/>
      </c>
      <c r="H133" s="3" t="inlineStr">
        <is>
          <t>Ottimo/Eccellente (padronanza alta) — Consapevolezza alta (calibrazione molto buona)</t>
        </is>
      </c>
      <c r="I133" s="3" t="inlineStr">
        <is>
          <t>Sfida extra: spiega un concetto a un compagno (o in un audio di 1 minuto) senza guardare appunti.</t>
        </is>
      </c>
      <c r="J133" s="3" t="inlineStr">
        <is>
          <t>Cerca 1 caso 'tranello' (errore tipico) e scrivi come riconoscerlo: diventi immune alle misconcezioni.</t>
        </is>
      </c>
    </row>
    <row r="134">
      <c r="A134" s="2" t="n">
        <v>10</v>
      </c>
      <c r="B134" s="2" t="n">
        <v>100</v>
      </c>
      <c r="C134" s="4" t="inlineStr">
        <is>
          <t>Sulla retta (ideale)</t>
        </is>
      </c>
      <c r="D134" s="2" t="inlineStr">
        <is>
          <t>I</t>
        </is>
      </c>
      <c r="E134" s="2" t="n">
        <v>300</v>
      </c>
      <c r="F134" s="3" t="inlineStr">
        <is>
          <t>Eccellente: sei accurato e molto consapevole. Quando dici «sono sicuro», di solito puoi anche spiegare il perché: questo è l’obiettivo CBM.</t>
        </is>
      </c>
      <c r="G134" s="2">
        <f>SQRT(($Lookup.$B$4*(B134-$Lookup.$B$2))^2 + (E134-$Lookup.$B$3)^2)</f>
        <v/>
      </c>
      <c r="H134" s="3" t="inlineStr">
        <is>
          <t>Ottimo/Eccellente (padronanza alta) — Consapevolezza alta (calibrazione molto buona)</t>
        </is>
      </c>
      <c r="I134" s="3" t="inlineStr">
        <is>
          <t>Sfida extra: spiega un concetto a un compagno (o in un audio di 1 minuto) senza guardare appunti.</t>
        </is>
      </c>
      <c r="J134" s="3" t="inlineStr">
        <is>
          <t>Cerca 1 caso 'tranello' (errore tipico) e scrivi come riconoscerlo: diventi immune alle misconcezioni.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5" t="inlineStr">
        <is>
          <t>Inserisci i dati dello studente</t>
        </is>
      </c>
    </row>
    <row r="2"/>
    <row r="3">
      <c r="A3" s="6" t="inlineStr">
        <is>
          <t>Voto accuratezza (decimi)</t>
        </is>
      </c>
      <c r="B3" s="12" t="n">
        <v>7</v>
      </c>
    </row>
    <row r="4">
      <c r="A4" s="6" t="inlineStr">
        <is>
          <t>CBM% (0–300)</t>
        </is>
      </c>
      <c r="B4" s="12" t="n">
        <v>150</v>
      </c>
    </row>
    <row r="5">
      <c r="A5" s="6" t="inlineStr">
        <is>
          <t>Peso accuratezza (wA)</t>
        </is>
      </c>
      <c r="B5" s="12" t="n">
        <v>3</v>
      </c>
    </row>
    <row r="6"/>
    <row r="7">
      <c r="A7" s="13" t="inlineStr">
        <is>
          <t>Risultato (punto più vicino nella mappa)</t>
        </is>
      </c>
    </row>
    <row r="8">
      <c r="A8" s="6" t="inlineStr">
        <is>
          <t>Voto accuratezza più vicino</t>
        </is>
      </c>
      <c r="B8" s="2">
        <f>INDEX(Punti!A:A, MATCH(MIN(Punti!G:G), Punti!G:G, 0))</f>
        <v/>
      </c>
    </row>
    <row r="9">
      <c r="A9" s="6" t="inlineStr">
        <is>
          <t>Livello CBM più vicino</t>
        </is>
      </c>
      <c r="B9" s="2">
        <f>INDEX(Punti!C:C, MATCH(MIN(Punti!G:G), Punti!G:G, 0))</f>
        <v/>
      </c>
    </row>
    <row r="10">
      <c r="A10" s="6" t="inlineStr">
        <is>
          <t>CBM% rappresentativo (mappa)</t>
        </is>
      </c>
      <c r="B10" s="2">
        <f>INDEX(Punti!E:E, MATCH(MIN(Punti!G:G), Punti!G:G, 0))</f>
        <v/>
      </c>
    </row>
    <row r="11" ht="45" customHeight="1">
      <c r="A11" s="6" t="inlineStr">
        <is>
          <t>Etichetta</t>
        </is>
      </c>
      <c r="B11" s="3">
        <f>INDEX(Punti!H:H, MATCH(MIN(Punti!G:G), Punti!G:G, 0))</f>
        <v/>
      </c>
    </row>
    <row r="12" ht="55" customHeight="1">
      <c r="A12" s="6" t="inlineStr">
        <is>
          <t>Azione 1</t>
        </is>
      </c>
      <c r="B12" s="3">
        <f>INDEX(Punti!I:I, MATCH(MIN(Punti!G:G), Punti!G:G, 0))</f>
        <v/>
      </c>
    </row>
    <row r="13" ht="55" customHeight="1">
      <c r="A13" s="6" t="inlineStr">
        <is>
          <t>Azione 2</t>
        </is>
      </c>
      <c r="B13" s="3">
        <f>INDEX(Punti!J:J, MATCH(MIN(Punti!G:G), Punti!G:G, 0))</f>
        <v/>
      </c>
    </row>
    <row r="14" ht="48" customHeight="1"/>
    <row r="15" ht="90" customHeight="1">
      <c r="A15" s="6" t="inlineStr">
        <is>
          <t>Feedback suggerito</t>
        </is>
      </c>
      <c r="B15" s="3">
        <f>INDEX(Punti!F:F, MATCH(MIN(Punti!G:G), Punti!G:G, 0))</f>
        <v/>
      </c>
    </row>
    <row r="16"/>
    <row r="17" ht="50" customHeight="1">
      <c r="A17" s="7" t="inlineStr">
        <is>
          <t>Nota:</t>
        </is>
      </c>
      <c r="B17" s="8" t="inlineStr">
        <is>
          <t>La mappa usa 7 'tagli' CBM relativi alla spezzata minima e alla retta ideale: 2 livelli sotto, 1 sulla spezzata, 2 sopra, 1 quasi-retta e 1 sulla retta. Il punto più vicino è calcolato con una distanza pesata (wA).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Legenda rapida</t>
        </is>
      </c>
    </row>
    <row r="3">
      <c r="A3" s="7" t="inlineStr">
        <is>
          <t>Assi e significato</t>
        </is>
      </c>
    </row>
    <row r="4">
      <c r="A4" s="9" t="inlineStr">
        <is>
          <t>Accuratezza (decimi)</t>
        </is>
      </c>
      <c r="B4" s="8" t="inlineStr">
        <is>
          <t>Voto basato solo sulle risposte corrette (es: 7 = 70%).</t>
        </is>
      </c>
    </row>
    <row r="5">
      <c r="A5" s="9" t="inlineStr">
        <is>
          <t>CBM% (0–300)</t>
        </is>
      </c>
      <c r="B5" s="8" t="inlineStr">
        <is>
          <t>Indice di coerenza tra sicurezza dichiarata e correttezza: più è alto e più la sicurezza è 'calibrata'.</t>
        </is>
      </c>
    </row>
    <row r="6">
      <c r="A6" s="9" t="n"/>
      <c r="B6" s="8" t="n"/>
    </row>
    <row r="7">
      <c r="A7" s="10" t="inlineStr">
        <is>
          <t>Come usare il file</t>
        </is>
      </c>
      <c r="B7" s="8" t="n"/>
    </row>
    <row r="8">
      <c r="A8" s="9" t="inlineStr">
        <is>
          <t>1) Vai in 'Lookup' e inserisci Voto accuratezza e CBM% dello studente.</t>
        </is>
      </c>
      <c r="B8" s="8" t="n"/>
    </row>
    <row r="9">
      <c r="A9" s="9" t="inlineStr">
        <is>
          <t>2) Leggi il feedback proposto (punto più vicino nella mappa).</t>
        </is>
      </c>
      <c r="B9" s="8" t="n"/>
    </row>
    <row r="10">
      <c r="A10" s="9" t="inlineStr">
        <is>
          <t>3) Se vuoi più 'peso' alla precisione dell'accuratezza, aumenta wA.</t>
        </is>
      </c>
      <c r="B10" s="8" t="n"/>
    </row>
    <row r="11">
      <c r="A11" s="9" t="n"/>
      <c r="B11" s="8" t="n"/>
    </row>
    <row r="12">
      <c r="A12" s="9" t="inlineStr">
        <is>
          <t>Suggerimento</t>
        </is>
      </c>
      <c r="B12" s="8" t="inlineStr">
        <is>
          <t>Se CBM risulta sotto la spezzata, spesso indica incoerenza (es. errori con alta sicurezza o risposte casuali).</t>
        </is>
      </c>
    </row>
    <row r="14" ht="35" customHeight="1">
      <c r="A14" s="7" t="inlineStr">
        <is>
          <t>Novità</t>
        </is>
      </c>
      <c r="B14" s="8" t="inlineStr">
        <is>
          <t>Ogni punto della mappa ora ha: Etichetta sintetica + Feedback + 2 azioni consigliate per migliorare.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2026-01-16T21:45:01Z</dcterms:created>
  <dcterms:modified xmlns:dcterms="http://purl.org/dc/terms/" xmlns:xsi="http://www.w3.org/2001/XMLSchema-instance" xsi:type="dcterms:W3CDTF">2026-01-16T22:00:18Z</dcterms:modified>
</cp:coreProperties>
</file>