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ametri_mappa" sheetId="1" state="visible" r:id="rId1"/>
    <sheet xmlns:r="http://schemas.openxmlformats.org/officeDocument/2006/relationships" name="Data_mappa" sheetId="2" state="visible" r:id="rId2"/>
    <sheet xmlns:r="http://schemas.openxmlformats.org/officeDocument/2006/relationships" name="Mappa_0p5" sheetId="3" state="visible" r:id="rId3"/>
    <sheet xmlns:r="http://schemas.openxmlformats.org/officeDocument/2006/relationships" name="Lookup_mappa" sheetId="4" state="visible" r:id="rId4"/>
    <sheet xmlns:r="http://schemas.openxmlformats.org/officeDocument/2006/relationships" name="CB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4">
    <font>
      <name val="Calibri"/>
      <color theme="1"/>
      <sz val="11"/>
      <scheme val="minor"/>
    </font>
    <font>
      <name val="Calibri"/>
      <b val="1"/>
      <color rgb="FFFFFFFF"/>
      <sz val="14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color rgb="FF0000FF"/>
      <sz val="11"/>
    </font>
    <font>
      <name val="Calibri"/>
      <color theme="0"/>
      <sz val="11"/>
    </font>
    <font>
      <b val="1"/>
      <color rgb="00FFFFFF"/>
      <sz val="12"/>
    </font>
    <font>
      <b val="1"/>
      <color rgb="001F4E79"/>
    </font>
    <font>
      <b val="1"/>
      <color rgb="000000FF"/>
    </font>
    <font>
      <sz val="10"/>
    </font>
    <font>
      <b val="1"/>
    </font>
    <font>
      <color rgb="00000000"/>
    </font>
    <font>
      <color rgb="001F4E79"/>
    </font>
  </fonts>
  <fills count="1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7F3FF"/>
        <bgColor rgb="FFE7F3FF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8D7DA"/>
      </patternFill>
    </fill>
    <fill>
      <patternFill patternType="solid">
        <fgColor rgb="00FFE5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AD3"/>
      </patternFill>
    </fill>
    <fill>
      <patternFill patternType="solid">
        <fgColor rgb="00B6D7A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/>
      <right/>
      <top/>
      <bottom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 wrapText="1"/>
    </xf>
    <xf numFmtId="2" fontId="3" fillId="0" borderId="4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4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6" borderId="0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6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/>
    </xf>
    <xf numFmtId="165" fontId="0" fillId="0" borderId="6" applyAlignment="1" pivotButton="0" quotePrefix="0" xfId="0">
      <alignment vertical="top"/>
    </xf>
    <xf numFmtId="2" fontId="0" fillId="0" borderId="6" applyAlignment="1" pivotButton="0" quotePrefix="0" xfId="0">
      <alignment vertical="top"/>
    </xf>
    <xf numFmtId="0" fontId="0" fillId="0" borderId="6" applyAlignment="1" pivotButton="0" quotePrefix="0" xfId="0">
      <alignment vertical="top" wrapText="1"/>
    </xf>
    <xf numFmtId="166" fontId="0" fillId="0" borderId="6" applyAlignment="1" pivotButton="0" quotePrefix="0" xfId="0">
      <alignment vertical="top"/>
    </xf>
    <xf numFmtId="0" fontId="8" fillId="7" borderId="6" applyAlignment="1" pivotButton="0" quotePrefix="0" xfId="0">
      <alignment horizontal="center" vertical="center" wrapText="1"/>
    </xf>
    <xf numFmtId="165" fontId="0" fillId="0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vertical="top" wrapText="1"/>
    </xf>
    <xf numFmtId="0" fontId="10" fillId="9" borderId="6" applyAlignment="1" pivotButton="0" quotePrefix="0" xfId="0">
      <alignment vertical="top" wrapText="1"/>
    </xf>
    <xf numFmtId="0" fontId="10" fillId="10" borderId="6" applyAlignment="1" pivotButton="0" quotePrefix="0" xfId="0">
      <alignment vertical="top" wrapText="1"/>
    </xf>
    <xf numFmtId="0" fontId="10" fillId="11" borderId="6" applyAlignment="1" pivotButton="0" quotePrefix="0" xfId="0">
      <alignment vertical="top" wrapText="1"/>
    </xf>
    <xf numFmtId="0" fontId="10" fillId="12" borderId="6" applyAlignment="1" pivotButton="0" quotePrefix="0" xfId="0">
      <alignment vertical="top" wrapText="1"/>
    </xf>
    <xf numFmtId="0" fontId="10" fillId="13" borderId="6" applyAlignment="1" pivotButton="0" quotePrefix="0" xfId="0">
      <alignment vertical="top" wrapText="1"/>
    </xf>
    <xf numFmtId="0" fontId="10" fillId="7" borderId="6" applyAlignment="1" pivotButton="0" quotePrefix="0" xfId="0">
      <alignment vertical="top" wrapText="1"/>
    </xf>
    <xf numFmtId="0" fontId="0" fillId="0" borderId="6" applyAlignment="1" pivotButton="0" quotePrefix="0" xfId="0">
      <alignment vertical="center"/>
    </xf>
    <xf numFmtId="165" fontId="9" fillId="0" borderId="6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8" fillId="0" borderId="6" applyAlignment="1" pivotButton="0" quotePrefix="0" xfId="0">
      <alignment vertical="center"/>
    </xf>
    <xf numFmtId="2" fontId="0" fillId="0" borderId="6" applyAlignment="1" pivotButton="0" quotePrefix="0" xfId="0">
      <alignment vertical="top" wrapText="1"/>
    </xf>
    <xf numFmtId="0" fontId="11" fillId="0" borderId="6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165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vertical="top" wrapText="1"/>
    </xf>
    <xf numFmtId="2" fontId="8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Spezzata CBM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>y spezzata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CBM!$AB$5:$BZ$5</f>
            </numRef>
          </xVal>
          <yVal>
            <numRef>
              <f>CBM!$AB$6:$BZ$6</f>
              <numCache/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764809287"/>
        <axId val="1505985255"/>
      </scatterChart>
      <valAx>
        <axId val="764809287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05985255"/>
      </valAx>
      <valAx>
        <axId val="150598525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64809287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25</col>
      <colOff>609600</colOff>
      <row>3</row>
      <rowOff>219075</rowOff>
    </from>
    <ext cx="4486275" cy="24669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8" customWidth="1" style="17" min="1" max="1"/>
    <col width="14" customWidth="1" style="17" min="2" max="2"/>
    <col width="3" customWidth="1" style="17" min="3" max="3"/>
    <col width="34" customWidth="1" style="17" min="4" max="4"/>
    <col width="14" customWidth="1" style="17" min="5" max="5"/>
    <col width="3" customWidth="1" style="17" min="6" max="6"/>
  </cols>
  <sheetData>
    <row r="1" ht="24" customHeight="1" s="17">
      <c r="A1" s="18" t="inlineStr">
        <is>
          <t>Mappa valutazioni CBM (accuracy in mezzi punti + 7 livelli CBM attorno alla spezzata)</t>
        </is>
      </c>
    </row>
    <row r="3">
      <c r="A3" s="19" t="inlineStr">
        <is>
          <t>Parametri algoritmo (come da guida)</t>
        </is>
      </c>
      <c r="D3" s="19" t="inlineStr">
        <is>
          <t>Taglio 7 livelli CBM (vicino alla spezzata)</t>
        </is>
      </c>
    </row>
    <row r="4">
      <c r="A4" s="20" t="inlineStr">
        <is>
          <t>Bmax (bonus max, in decimi)</t>
        </is>
      </c>
      <c r="B4" s="21" t="n">
        <v>3</v>
      </c>
      <c r="D4" s="20" t="inlineStr">
        <is>
          <t>f1 (livello vicino)</t>
        </is>
      </c>
      <c r="E4" s="21" t="n">
        <v>0.15</v>
      </c>
    </row>
    <row r="5">
      <c r="A5" s="20" t="inlineStr">
        <is>
          <t>Mmin (malus minimo, in decimi)</t>
        </is>
      </c>
      <c r="B5" s="21" t="n">
        <v>-0.5</v>
      </c>
      <c r="D5" s="20" t="inlineStr">
        <is>
          <t>f2 (livello più distante)</t>
        </is>
      </c>
      <c r="E5" s="21" t="n">
        <v>0.3</v>
      </c>
    </row>
    <row r="6">
      <c r="A6" s="20" t="inlineStr">
        <is>
          <t>Mmax (malus massimo, in decimi)</t>
        </is>
      </c>
      <c r="B6" s="22" t="n">
        <v>-2</v>
      </c>
    </row>
    <row r="7">
      <c r="D7" s="19" t="inlineStr">
        <is>
          <t>Scala distanza (nearest point)</t>
        </is>
      </c>
    </row>
    <row r="8">
      <c r="A8" s="19" t="inlineStr">
        <is>
          <t>Note</t>
        </is>
      </c>
      <c r="D8" s="0" t="inlineStr">
        <is>
          <t>scala voto accuracy (unità = 0,5)</t>
        </is>
      </c>
      <c r="E8" s="23" t="n">
        <v>0.5</v>
      </c>
    </row>
    <row r="9" ht="18" customHeight="1" s="17">
      <c r="A9" s="48" t="n"/>
      <c r="B9" s="48" t="n"/>
      <c r="C9" s="48" t="n"/>
      <c r="D9" s="49" t="inlineStr">
        <is>
          <t>scala CBM% (unità = 20)</t>
        </is>
      </c>
      <c r="E9" s="50" t="n">
        <v>20</v>
      </c>
      <c r="F9" s="48" t="n"/>
    </row>
    <row r="10" ht="36" customHeight="1" s="17">
      <c r="A10" s="51" t="inlineStr">
        <is>
          <t>• La mappa usa Accuracy in decimi (1,0 – 10,0 a passi di 0,5) e calcola 7 punti CBM% per riga: y_low, due sotto y_min, y_min, due sopra y_min, y_max.</t>
        </is>
      </c>
    </row>
    <row r="11" ht="36" customHeight="1" s="17"/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4"/>
  <sheetViews>
    <sheetView showGridLines="0" workbookViewId="0">
      <selection activeCell="A1" sqref="A1"/>
    </sheetView>
  </sheetViews>
  <sheetFormatPr baseColWidth="8" defaultRowHeight="15"/>
  <cols>
    <col width="6" customWidth="1" style="17" min="1" max="1"/>
    <col width="12" customWidth="1" style="17" min="2" max="2"/>
    <col width="10" customWidth="1" style="17" min="3" max="3"/>
    <col width="10" customWidth="1" style="17" min="4" max="4"/>
    <col width="10" customWidth="1" style="17" min="5" max="5"/>
    <col width="10" customWidth="1" style="17" min="6" max="6"/>
    <col width="26" customWidth="1" style="17" min="7" max="7"/>
    <col width="14" customWidth="1" style="17" min="8" max="8"/>
    <col width="12" customWidth="1" style="17" min="9" max="9"/>
    <col width="11" customWidth="1" style="17" min="10" max="10"/>
    <col width="40" customWidth="1" style="17" min="11" max="11"/>
    <col width="48" customWidth="1" style="17" min="12" max="12"/>
    <col width="70" customWidth="1" style="17" min="13" max="13"/>
    <col width="12" customWidth="1" style="17" min="14" max="14"/>
  </cols>
  <sheetData>
    <row r="1">
      <c r="A1" s="25" t="inlineStr">
        <is>
          <t>ID</t>
        </is>
      </c>
      <c r="B1" s="25" t="inlineStr">
        <is>
          <t>V_acc (0-10)</t>
        </is>
      </c>
      <c r="C1" s="25" t="inlineStr">
        <is>
          <t>Accuracy%</t>
        </is>
      </c>
      <c r="D1" s="25" t="inlineStr">
        <is>
          <t>y_min</t>
        </is>
      </c>
      <c r="E1" s="25" t="inlineStr">
        <is>
          <t>y_max</t>
        </is>
      </c>
      <c r="F1" s="25" t="inlineStr">
        <is>
          <t>y_low</t>
        </is>
      </c>
      <c r="G1" s="25" t="inlineStr">
        <is>
          <t>Livello</t>
        </is>
      </c>
      <c r="H1" s="25" t="inlineStr">
        <is>
          <t>CBM% (punto mappa)</t>
        </is>
      </c>
      <c r="I1" s="25" t="inlineStr">
        <is>
          <t>Adj (decimi)</t>
        </is>
      </c>
      <c r="J1" s="25" t="inlineStr">
        <is>
          <t>Voto finale</t>
        </is>
      </c>
      <c r="K1" s="25" t="inlineStr">
        <is>
          <t>Profilo</t>
        </is>
      </c>
      <c r="L1" s="25" t="inlineStr">
        <is>
          <t>Feedback (breve)</t>
        </is>
      </c>
      <c r="M1" s="25" t="inlineStr">
        <is>
          <t>Feedback (esteso)</t>
        </is>
      </c>
      <c r="N1" s="25" t="inlineStr">
        <is>
          <t>Key (V_acc|Livello)</t>
        </is>
      </c>
      <c r="O1" s="0" t="inlineStr">
        <is>
          <t>Key</t>
        </is>
      </c>
      <c r="P1" s="0" t="inlineStr">
        <is>
          <t>Voto_finale</t>
        </is>
      </c>
      <c r="Q1" s="0" t="inlineStr">
        <is>
          <t>Profilo</t>
        </is>
      </c>
      <c r="R1" s="0" t="inlineStr">
        <is>
          <t>Feedback_breve</t>
        </is>
      </c>
      <c r="S1" s="0" t="inlineStr">
        <is>
          <t>Feedback_esteso</t>
        </is>
      </c>
    </row>
    <row r="2">
      <c r="A2" s="26" t="n">
        <v>1</v>
      </c>
      <c r="B2" s="27" t="n">
        <v>1</v>
      </c>
      <c r="C2" s="27" t="n">
        <v>10</v>
      </c>
      <c r="D2" s="27" t="n">
        <v>10</v>
      </c>
      <c r="E2" s="27" t="n">
        <v>30</v>
      </c>
      <c r="F2" s="27" t="n">
        <v>-50</v>
      </c>
      <c r="G2" s="26" t="inlineStr">
        <is>
          <t>Molto sotto (y_low)</t>
        </is>
      </c>
      <c r="H2" s="27" t="n">
        <v>-50</v>
      </c>
      <c r="I2" s="28" t="n">
        <v>0</v>
      </c>
      <c r="J2" s="28" t="n">
        <v>1</v>
      </c>
      <c r="K2" s="29" t="inlineStr">
        <is>
          <t>Rischio misconcezioni / confidenza fuori bersaglio</t>
        </is>
      </c>
      <c r="L2" s="29" t="inlineStr">
        <is>
          <t>Rischio misconcezioni / confidenza fuori bersaglio — Scegli 3 risposte sbagliate e riscrivile con regola/criterio: se non trovi la regola, la prossima volta confidenza bassa.</t>
        </is>
      </c>
      <c r="M2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2" s="28" t="inlineStr">
        <is>
          <t>1.0|Molto sotto (y_low)</t>
        </is>
      </c>
      <c r="O2" s="0" t="inlineStr">
        <is>
          <t>1.0|Molto sotto (y_low)</t>
        </is>
      </c>
      <c r="P2" s="0" t="n">
        <v>1</v>
      </c>
      <c r="Q2" s="0" t="inlineStr">
        <is>
          <t>Rischio misconcezioni / confidenza fuori bersaglio</t>
        </is>
      </c>
      <c r="R2" s="0" t="inlineStr">
        <is>
          <t>Rischio misconcezioni / confidenza fuori bersaglio — Scegli 3 risposte sbagliate e riscrivile con regola/criterio: se non trovi la regola, la prossima volta confidenza bassa.</t>
        </is>
      </c>
      <c r="S2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3">
      <c r="A3" s="26" t="n">
        <v>2</v>
      </c>
      <c r="B3" s="27" t="n">
        <v>1</v>
      </c>
      <c r="C3" s="27" t="n">
        <v>10</v>
      </c>
      <c r="D3" s="27" t="n">
        <v>10</v>
      </c>
      <c r="E3" s="27" t="n">
        <v>30</v>
      </c>
      <c r="F3" s="27" t="n">
        <v>-50</v>
      </c>
      <c r="G3" s="26" t="inlineStr">
        <is>
          <t>Sotto 2</t>
        </is>
      </c>
      <c r="H3" s="27" t="n">
        <v>-8</v>
      </c>
      <c r="I3" s="28" t="n">
        <v>0</v>
      </c>
      <c r="J3" s="28" t="n">
        <v>1</v>
      </c>
      <c r="K3" s="29" t="inlineStr">
        <is>
          <t>Inconsapevolezza marcata (calibrazione scarsa)</t>
        </is>
      </c>
      <c r="L3" s="29" t="inlineStr">
        <is>
          <t>Inconsapevolezza marcata (calibrazione scarsa) — Per ogni domanda: scrivi 1 riga di motivazione. Se non la sai scrivere, confidenza bassa senza vergogna.</t>
        </is>
      </c>
      <c r="M3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3" s="28" t="inlineStr">
        <is>
          <t>1.0|Sotto 2</t>
        </is>
      </c>
      <c r="O3" s="0" t="inlineStr">
        <is>
          <t>1.0|Sotto 2</t>
        </is>
      </c>
      <c r="P3" s="0" t="n">
        <v>1</v>
      </c>
      <c r="Q3" s="0" t="inlineStr">
        <is>
          <t>Inconsapevolezza marcata (calibrazione scarsa)</t>
        </is>
      </c>
      <c r="R3" s="0" t="inlineStr">
        <is>
          <t>Inconsapevolezza marcata (calibrazione scarsa) — Per ogni domanda: scrivi 1 riga di motivazione. Se non la sai scrivere, confidenza bassa senza vergogna.</t>
        </is>
      </c>
      <c r="S3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4">
      <c r="A4" s="26" t="n">
        <v>3</v>
      </c>
      <c r="B4" s="27" t="n">
        <v>1</v>
      </c>
      <c r="C4" s="27" t="n">
        <v>10</v>
      </c>
      <c r="D4" s="27" t="n">
        <v>10</v>
      </c>
      <c r="E4" s="27" t="n">
        <v>30</v>
      </c>
      <c r="F4" s="27" t="n">
        <v>-50</v>
      </c>
      <c r="G4" s="26" t="inlineStr">
        <is>
          <t>Sotto 1</t>
        </is>
      </c>
      <c r="H4" s="27" t="n">
        <v>1</v>
      </c>
      <c r="I4" s="28" t="n">
        <v>0</v>
      </c>
      <c r="J4" s="28" t="n">
        <v>1</v>
      </c>
      <c r="K4" s="29" t="inlineStr">
        <is>
          <t>Incertezza / calibrazione da migliorare</t>
        </is>
      </c>
      <c r="L4" s="29" t="inlineStr">
        <is>
          <t>Incertezza / calibrazione da migliorare — Allenati con un controllo: 'posso spiegare in 10 secondi perché?' Se sì alza, se no abbassa la confidenza.</t>
        </is>
      </c>
      <c r="M4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4" s="28" t="inlineStr">
        <is>
          <t>1.0|Sotto 1</t>
        </is>
      </c>
      <c r="O4" s="0" t="inlineStr">
        <is>
          <t>1.0|Sotto 1</t>
        </is>
      </c>
      <c r="P4" s="0" t="n">
        <v>1</v>
      </c>
      <c r="Q4" s="0" t="inlineStr">
        <is>
          <t>Incertezza / calibrazione da migliorare</t>
        </is>
      </c>
      <c r="R4" s="0" t="inlineStr">
        <is>
          <t>Incertezza / calibrazione da migliorare — Allenati con un controllo: 'posso spiegare in 10 secondi perché?' Se sì alza, se no abbassa la confidenza.</t>
        </is>
      </c>
      <c r="S4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5">
      <c r="A5" s="26" t="n">
        <v>4</v>
      </c>
      <c r="B5" s="27" t="n">
        <v>1</v>
      </c>
      <c r="C5" s="27" t="n">
        <v>10</v>
      </c>
      <c r="D5" s="27" t="n">
        <v>10</v>
      </c>
      <c r="E5" s="27" t="n">
        <v>30</v>
      </c>
      <c r="F5" s="27" t="n">
        <v>-50</v>
      </c>
      <c r="G5" s="26" t="inlineStr">
        <is>
          <t>Sulla spezzata (y_min)</t>
        </is>
      </c>
      <c r="H5" s="27" t="n">
        <v>10</v>
      </c>
      <c r="I5" s="28" t="n">
        <v>0</v>
      </c>
      <c r="J5" s="28" t="n">
        <v>1</v>
      </c>
      <c r="K5" s="29" t="inlineStr">
        <is>
          <t>Calibrazione minima OK</t>
        </is>
      </c>
      <c r="L5" s="29" t="inlineStr">
        <is>
          <t>Calibrazione minima OK — Obiettivo: aumentare la precisione delle motivazioni (non solo la risposta) per salire di livello.</t>
        </is>
      </c>
      <c r="M5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5" s="28" t="inlineStr">
        <is>
          <t>1.0|Sulla spezzata (y_min)</t>
        </is>
      </c>
      <c r="O5" s="0" t="inlineStr">
        <is>
          <t>1.0|Sulla spezzata (y_min)</t>
        </is>
      </c>
      <c r="P5" s="0" t="n">
        <v>1</v>
      </c>
      <c r="Q5" s="0" t="inlineStr">
        <is>
          <t>Calibrazione minima OK</t>
        </is>
      </c>
      <c r="R5" s="0" t="inlineStr">
        <is>
          <t>Calibrazione minima OK — Obiettivo: aumentare la precisione delle motivazioni (non solo la risposta) per salire di livello.</t>
        </is>
      </c>
      <c r="S5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6">
      <c r="A6" s="26" t="n">
        <v>5</v>
      </c>
      <c r="B6" s="27" t="n">
        <v>1</v>
      </c>
      <c r="C6" s="27" t="n">
        <v>10</v>
      </c>
      <c r="D6" s="27" t="n">
        <v>10</v>
      </c>
      <c r="E6" s="27" t="n">
        <v>30</v>
      </c>
      <c r="F6" s="27" t="n">
        <v>-50</v>
      </c>
      <c r="G6" s="26" t="inlineStr">
        <is>
          <t>Sopra 1</t>
        </is>
      </c>
      <c r="H6" s="27" t="n">
        <v>13</v>
      </c>
      <c r="I6" s="28" t="n">
        <v>0</v>
      </c>
      <c r="J6" s="28" t="n">
        <v>1</v>
      </c>
      <c r="K6" s="29" t="inlineStr">
        <is>
          <t>Buona calibrazione (sa e lo sa)</t>
        </is>
      </c>
      <c r="L6" s="29" t="inlineStr">
        <is>
          <t>Buona calibrazione (sa e lo sa) — Consolida: rivedi 2 errori e scrivi la 'regola d'oro' che li evita.</t>
        </is>
      </c>
      <c r="M6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6" s="28" t="inlineStr">
        <is>
          <t>1.0|Sopra 1</t>
        </is>
      </c>
      <c r="O6" s="0" t="inlineStr">
        <is>
          <t>1.0|Sopra 1</t>
        </is>
      </c>
      <c r="P6" s="0" t="n">
        <v>1</v>
      </c>
      <c r="Q6" s="0" t="inlineStr">
        <is>
          <t>Buona calibrazione (sa e lo sa)</t>
        </is>
      </c>
      <c r="R6" s="0" t="inlineStr">
        <is>
          <t>Buona calibrazione (sa e lo sa) — Consolida: rivedi 2 errori e scrivi la 'regola d'oro' che li evita.</t>
        </is>
      </c>
      <c r="S6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7">
      <c r="A7" s="26" t="n">
        <v>6</v>
      </c>
      <c r="B7" s="27" t="n">
        <v>1</v>
      </c>
      <c r="C7" s="27" t="n">
        <v>10</v>
      </c>
      <c r="D7" s="27" t="n">
        <v>10</v>
      </c>
      <c r="E7" s="27" t="n">
        <v>30</v>
      </c>
      <c r="F7" s="27" t="n">
        <v>-50</v>
      </c>
      <c r="G7" s="26" t="inlineStr">
        <is>
          <t>Sopra 2</t>
        </is>
      </c>
      <c r="H7" s="27" t="n">
        <v>16</v>
      </c>
      <c r="I7" s="28" t="n">
        <v>0</v>
      </c>
      <c r="J7" s="28" t="n">
        <v>1</v>
      </c>
      <c r="K7" s="29" t="inlineStr">
        <is>
          <t>Consapevolezza alta (molto ben tarato)</t>
        </is>
      </c>
      <c r="L7" s="29" t="inlineStr">
        <is>
          <t>Consapevolezza alta (molto ben tarato) — Fai un passo in più: spiega a un compagno il criterio (insegnare = super test).</t>
        </is>
      </c>
      <c r="M7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7" s="28" t="inlineStr">
        <is>
          <t>1.0|Sopra 2</t>
        </is>
      </c>
      <c r="O7" s="0" t="inlineStr">
        <is>
          <t>1.0|Sopra 2</t>
        </is>
      </c>
      <c r="P7" s="0" t="n">
        <v>1</v>
      </c>
      <c r="Q7" s="0" t="inlineStr">
        <is>
          <t>Consapevolezza alta (molto ben tarato)</t>
        </is>
      </c>
      <c r="R7" s="0" t="inlineStr">
        <is>
          <t>Consapevolezza alta (molto ben tarato) — Fai un passo in più: spiega a un compagno il criterio (insegnare = super test).</t>
        </is>
      </c>
      <c r="S7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8">
      <c r="A8" s="26" t="n">
        <v>7</v>
      </c>
      <c r="B8" s="27" t="n">
        <v>1</v>
      </c>
      <c r="C8" s="27" t="n">
        <v>10</v>
      </c>
      <c r="D8" s="27" t="n">
        <v>10</v>
      </c>
      <c r="E8" s="27" t="n">
        <v>30</v>
      </c>
      <c r="F8" s="27" t="n">
        <v>-50</v>
      </c>
      <c r="G8" s="26" t="inlineStr">
        <is>
          <t>Retta consapevolezza (y_max)</t>
        </is>
      </c>
      <c r="H8" s="27" t="n">
        <v>30</v>
      </c>
      <c r="I8" s="28" t="n">
        <v>0</v>
      </c>
      <c r="J8" s="28" t="n">
        <v>1</v>
      </c>
      <c r="K8" s="29" t="inlineStr">
        <is>
          <t>Consapevolezza eccellente</t>
        </is>
      </c>
      <c r="L8" s="29" t="inlineStr">
        <is>
          <t>Consapevolezza eccellente — Sfida extra: prova a individuare i casi limite e le eccezioni (rafforza il pensiero critico).</t>
        </is>
      </c>
      <c r="M8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8" s="28" t="inlineStr">
        <is>
          <t>1.0|Retta consapevolezza (y_max)</t>
        </is>
      </c>
      <c r="O8" s="0" t="inlineStr">
        <is>
          <t>1.0|Retta consapevolezza (y_max)</t>
        </is>
      </c>
      <c r="P8" s="0" t="n">
        <v>1</v>
      </c>
      <c r="Q8" s="0" t="inlineStr">
        <is>
          <t>Consapevolezza eccellente</t>
        </is>
      </c>
      <c r="R8" s="0" t="inlineStr">
        <is>
          <t>Consapevolezza eccellente — Sfida extra: prova a individuare i casi limite e le eccezioni (rafforza il pensiero critico).</t>
        </is>
      </c>
      <c r="S8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9">
      <c r="A9" s="26" t="n">
        <v>8</v>
      </c>
      <c r="B9" s="27" t="n">
        <v>1.5</v>
      </c>
      <c r="C9" s="27" t="n">
        <v>15</v>
      </c>
      <c r="D9" s="27" t="n">
        <v>15</v>
      </c>
      <c r="E9" s="27" t="n">
        <v>45</v>
      </c>
      <c r="F9" s="27" t="n">
        <v>-45</v>
      </c>
      <c r="G9" s="26" t="inlineStr">
        <is>
          <t>Molto sotto (y_low)</t>
        </is>
      </c>
      <c r="H9" s="27" t="n">
        <v>-45</v>
      </c>
      <c r="I9" s="28" t="n">
        <v>0</v>
      </c>
      <c r="J9" s="28" t="n">
        <v>1.5</v>
      </c>
      <c r="K9" s="29" t="inlineStr">
        <is>
          <t>Rischio misconcezioni / confidenza fuori bersaglio</t>
        </is>
      </c>
      <c r="L9" s="29" t="inlineStr">
        <is>
          <t>Rischio misconcezioni / confidenza fuori bersaglio — Scegli 3 risposte sbagliate e riscrivile con regola/criterio: se non trovi la regola, la prossima volta confidenza bassa.</t>
        </is>
      </c>
      <c r="M9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9" s="28" t="inlineStr">
        <is>
          <t>1.5|Molto sotto (y_low)</t>
        </is>
      </c>
      <c r="O9" s="0" t="inlineStr">
        <is>
          <t>1.5|Molto sotto (y_low)</t>
        </is>
      </c>
      <c r="P9" s="0" t="n">
        <v>1.5</v>
      </c>
      <c r="Q9" s="0" t="inlineStr">
        <is>
          <t>Rischio misconcezioni / confidenza fuori bersaglio</t>
        </is>
      </c>
      <c r="R9" s="0" t="inlineStr">
        <is>
          <t>Rischio misconcezioni / confidenza fuori bersaglio — Scegli 3 risposte sbagliate e riscrivile con regola/criterio: se non trovi la regola, la prossima volta confidenza bassa.</t>
        </is>
      </c>
      <c r="S9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0">
      <c r="A10" s="26" t="n">
        <v>9</v>
      </c>
      <c r="B10" s="27" t="n">
        <v>1.5</v>
      </c>
      <c r="C10" s="27" t="n">
        <v>15</v>
      </c>
      <c r="D10" s="27" t="n">
        <v>15</v>
      </c>
      <c r="E10" s="27" t="n">
        <v>45</v>
      </c>
      <c r="F10" s="27" t="n">
        <v>-45</v>
      </c>
      <c r="G10" s="26" t="inlineStr">
        <is>
          <t>Sotto 2</t>
        </is>
      </c>
      <c r="H10" s="27" t="n">
        <v>-3</v>
      </c>
      <c r="I10" s="28" t="n">
        <v>0</v>
      </c>
      <c r="J10" s="28" t="n">
        <v>1.5</v>
      </c>
      <c r="K10" s="29" t="inlineStr">
        <is>
          <t>Inconsapevolezza marcata (calibrazione scarsa)</t>
        </is>
      </c>
      <c r="L10" s="29" t="inlineStr">
        <is>
          <t>Inconsapevolezza marcata (calibrazione scarsa) — Per ogni domanda: scrivi 1 riga di motivazione. Se non la sai scrivere, confidenza bassa senza vergogna.</t>
        </is>
      </c>
      <c r="M10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10" s="28" t="inlineStr">
        <is>
          <t>1.5|Sotto 2</t>
        </is>
      </c>
      <c r="O10" s="0" t="inlineStr">
        <is>
          <t>1.5|Sotto 2</t>
        </is>
      </c>
      <c r="P10" s="0" t="n">
        <v>1.5</v>
      </c>
      <c r="Q10" s="0" t="inlineStr">
        <is>
          <t>Inconsapevolezza marcata (calibrazione scarsa)</t>
        </is>
      </c>
      <c r="R10" s="0" t="inlineStr">
        <is>
          <t>Inconsapevolezza marcata (calibrazione scarsa) — Per ogni domanda: scrivi 1 riga di motivazione. Se non la sai scrivere, confidenza bassa senza vergogna.</t>
        </is>
      </c>
      <c r="S10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1">
      <c r="A11" s="26" t="n">
        <v>10</v>
      </c>
      <c r="B11" s="27" t="n">
        <v>1.5</v>
      </c>
      <c r="C11" s="27" t="n">
        <v>15</v>
      </c>
      <c r="D11" s="27" t="n">
        <v>15</v>
      </c>
      <c r="E11" s="27" t="n">
        <v>45</v>
      </c>
      <c r="F11" s="27" t="n">
        <v>-45</v>
      </c>
      <c r="G11" s="26" t="inlineStr">
        <is>
          <t>Sotto 1</t>
        </is>
      </c>
      <c r="H11" s="27" t="n">
        <v>6</v>
      </c>
      <c r="I11" s="28" t="n">
        <v>0</v>
      </c>
      <c r="J11" s="28" t="n">
        <v>1.5</v>
      </c>
      <c r="K11" s="29" t="inlineStr">
        <is>
          <t>Incertezza / calibrazione da migliorare</t>
        </is>
      </c>
      <c r="L11" s="29" t="inlineStr">
        <is>
          <t>Incertezza / calibrazione da migliorare — Allenati con un controllo: 'posso spiegare in 10 secondi perché?' Se sì alza, se no abbassa la confidenza.</t>
        </is>
      </c>
      <c r="M11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11" s="28" t="inlineStr">
        <is>
          <t>1.5|Sotto 1</t>
        </is>
      </c>
      <c r="O11" s="0" t="inlineStr">
        <is>
          <t>1.5|Sotto 1</t>
        </is>
      </c>
      <c r="P11" s="0" t="n">
        <v>1.5</v>
      </c>
      <c r="Q11" s="0" t="inlineStr">
        <is>
          <t>Incertezza / calibrazione da migliorare</t>
        </is>
      </c>
      <c r="R11" s="0" t="inlineStr">
        <is>
          <t>Incertezza / calibrazione da migliorare — Allenati con un controllo: 'posso spiegare in 10 secondi perché?' Se sì alza, se no abbassa la confidenza.</t>
        </is>
      </c>
      <c r="S11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12">
      <c r="A12" s="26" t="n">
        <v>11</v>
      </c>
      <c r="B12" s="27" t="n">
        <v>1.5</v>
      </c>
      <c r="C12" s="27" t="n">
        <v>15</v>
      </c>
      <c r="D12" s="27" t="n">
        <v>15</v>
      </c>
      <c r="E12" s="27" t="n">
        <v>45</v>
      </c>
      <c r="F12" s="27" t="n">
        <v>-45</v>
      </c>
      <c r="G12" s="26" t="inlineStr">
        <is>
          <t>Sulla spezzata (y_min)</t>
        </is>
      </c>
      <c r="H12" s="27" t="n">
        <v>15</v>
      </c>
      <c r="I12" s="28" t="n">
        <v>0</v>
      </c>
      <c r="J12" s="28" t="n">
        <v>1.5</v>
      </c>
      <c r="K12" s="29" t="inlineStr">
        <is>
          <t>Calibrazione minima OK</t>
        </is>
      </c>
      <c r="L12" s="29" t="inlineStr">
        <is>
          <t>Calibrazione minima OK — Obiettivo: aumentare la precisione delle motivazioni (non solo la risposta) per salire di livello.</t>
        </is>
      </c>
      <c r="M12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12" s="28" t="inlineStr">
        <is>
          <t>1.5|Sulla spezzata (y_min)</t>
        </is>
      </c>
      <c r="O12" s="0" t="inlineStr">
        <is>
          <t>1.5|Sulla spezzata (y_min)</t>
        </is>
      </c>
      <c r="P12" s="0" t="n">
        <v>1.5</v>
      </c>
      <c r="Q12" s="0" t="inlineStr">
        <is>
          <t>Calibrazione minima OK</t>
        </is>
      </c>
      <c r="R12" s="0" t="inlineStr">
        <is>
          <t>Calibrazione minima OK — Obiettivo: aumentare la precisione delle motivazioni (non solo la risposta) per salire di livello.</t>
        </is>
      </c>
      <c r="S12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13">
      <c r="A13" s="26" t="n">
        <v>12</v>
      </c>
      <c r="B13" s="27" t="n">
        <v>1.5</v>
      </c>
      <c r="C13" s="27" t="n">
        <v>15</v>
      </c>
      <c r="D13" s="27" t="n">
        <v>15</v>
      </c>
      <c r="E13" s="27" t="n">
        <v>45</v>
      </c>
      <c r="F13" s="27" t="n">
        <v>-45</v>
      </c>
      <c r="G13" s="26" t="inlineStr">
        <is>
          <t>Sopra 1</t>
        </is>
      </c>
      <c r="H13" s="27" t="n">
        <v>19.5</v>
      </c>
      <c r="I13" s="28" t="n">
        <v>0</v>
      </c>
      <c r="J13" s="28" t="n">
        <v>1.5</v>
      </c>
      <c r="K13" s="29" t="inlineStr">
        <is>
          <t>Buona calibrazione (sa e lo sa)</t>
        </is>
      </c>
      <c r="L13" s="29" t="inlineStr">
        <is>
          <t>Buona calibrazione (sa e lo sa) — Consolida: rivedi 2 errori e scrivi la 'regola d'oro' che li evita.</t>
        </is>
      </c>
      <c r="M13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13" s="28" t="inlineStr">
        <is>
          <t>1.5|Sopra 1</t>
        </is>
      </c>
      <c r="O13" s="0" t="inlineStr">
        <is>
          <t>1.5|Sopra 1</t>
        </is>
      </c>
      <c r="P13" s="0" t="n">
        <v>1.5</v>
      </c>
      <c r="Q13" s="0" t="inlineStr">
        <is>
          <t>Buona calibrazione (sa e lo sa)</t>
        </is>
      </c>
      <c r="R13" s="0" t="inlineStr">
        <is>
          <t>Buona calibrazione (sa e lo sa) — Consolida: rivedi 2 errori e scrivi la 'regola d'oro' che li evita.</t>
        </is>
      </c>
      <c r="S13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14">
      <c r="A14" s="26" t="n">
        <v>13</v>
      </c>
      <c r="B14" s="27" t="n">
        <v>1.5</v>
      </c>
      <c r="C14" s="27" t="n">
        <v>15</v>
      </c>
      <c r="D14" s="27" t="n">
        <v>15</v>
      </c>
      <c r="E14" s="27" t="n">
        <v>45</v>
      </c>
      <c r="F14" s="27" t="n">
        <v>-45</v>
      </c>
      <c r="G14" s="26" t="inlineStr">
        <is>
          <t>Sopra 2</t>
        </is>
      </c>
      <c r="H14" s="27" t="n">
        <v>24</v>
      </c>
      <c r="I14" s="28" t="n">
        <v>0</v>
      </c>
      <c r="J14" s="28" t="n">
        <v>1.5</v>
      </c>
      <c r="K14" s="29" t="inlineStr">
        <is>
          <t>Consapevolezza alta (molto ben tarato)</t>
        </is>
      </c>
      <c r="L14" s="29" t="inlineStr">
        <is>
          <t>Consapevolezza alta (molto ben tarato) — Fai un passo in più: spiega a un compagno il criterio (insegnare = super test).</t>
        </is>
      </c>
      <c r="M14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14" s="28" t="inlineStr">
        <is>
          <t>1.5|Sopra 2</t>
        </is>
      </c>
      <c r="O14" s="0" t="inlineStr">
        <is>
          <t>1.5|Sopra 2</t>
        </is>
      </c>
      <c r="P14" s="0" t="n">
        <v>1.5</v>
      </c>
      <c r="Q14" s="0" t="inlineStr">
        <is>
          <t>Consapevolezza alta (molto ben tarato)</t>
        </is>
      </c>
      <c r="R14" s="0" t="inlineStr">
        <is>
          <t>Consapevolezza alta (molto ben tarato) — Fai un passo in più: spiega a un compagno il criterio (insegnare = super test).</t>
        </is>
      </c>
      <c r="S14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15">
      <c r="A15" s="26" t="n">
        <v>14</v>
      </c>
      <c r="B15" s="27" t="n">
        <v>1.5</v>
      </c>
      <c r="C15" s="27" t="n">
        <v>15</v>
      </c>
      <c r="D15" s="27" t="n">
        <v>15</v>
      </c>
      <c r="E15" s="27" t="n">
        <v>45</v>
      </c>
      <c r="F15" s="27" t="n">
        <v>-45</v>
      </c>
      <c r="G15" s="26" t="inlineStr">
        <is>
          <t>Retta consapevolezza (y_max)</t>
        </is>
      </c>
      <c r="H15" s="27" t="n">
        <v>45</v>
      </c>
      <c r="I15" s="28" t="n">
        <v>0</v>
      </c>
      <c r="J15" s="28" t="n">
        <v>1.5</v>
      </c>
      <c r="K15" s="29" t="inlineStr">
        <is>
          <t>Consapevolezza eccellente</t>
        </is>
      </c>
      <c r="L15" s="29" t="inlineStr">
        <is>
          <t>Consapevolezza eccellente — Sfida extra: prova a individuare i casi limite e le eccezioni (rafforza il pensiero critico).</t>
        </is>
      </c>
      <c r="M15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15" s="28" t="inlineStr">
        <is>
          <t>1.5|Retta consapevolezza (y_max)</t>
        </is>
      </c>
      <c r="O15" s="0" t="inlineStr">
        <is>
          <t>1.5|Retta consapevolezza (y_max)</t>
        </is>
      </c>
      <c r="P15" s="0" t="n">
        <v>1.5</v>
      </c>
      <c r="Q15" s="0" t="inlineStr">
        <is>
          <t>Consapevolezza eccellente</t>
        </is>
      </c>
      <c r="R15" s="0" t="inlineStr">
        <is>
          <t>Consapevolezza eccellente — Sfida extra: prova a individuare i casi limite e le eccezioni (rafforza il pensiero critico).</t>
        </is>
      </c>
      <c r="S15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16">
      <c r="A16" s="26" t="n">
        <v>15</v>
      </c>
      <c r="B16" s="27" t="n">
        <v>2</v>
      </c>
      <c r="C16" s="27" t="n">
        <v>20</v>
      </c>
      <c r="D16" s="27" t="n">
        <v>20</v>
      </c>
      <c r="E16" s="27" t="n">
        <v>60</v>
      </c>
      <c r="F16" s="27" t="n">
        <v>-40</v>
      </c>
      <c r="G16" s="26" t="inlineStr">
        <is>
          <t>Molto sotto (y_low)</t>
        </is>
      </c>
      <c r="H16" s="27" t="n">
        <v>-40</v>
      </c>
      <c r="I16" s="28" t="n">
        <v>0</v>
      </c>
      <c r="J16" s="28" t="n">
        <v>2</v>
      </c>
      <c r="K16" s="29" t="inlineStr">
        <is>
          <t>Rischio misconcezioni / confidenza fuori bersaglio</t>
        </is>
      </c>
      <c r="L16" s="29" t="inlineStr">
        <is>
          <t>Rischio misconcezioni / confidenza fuori bersaglio — Scegli 3 risposte sbagliate e riscrivile con regola/criterio: se non trovi la regola, la prossima volta confidenza bassa.</t>
        </is>
      </c>
      <c r="M16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16" s="28" t="inlineStr">
        <is>
          <t>2.0|Molto sotto (y_low)</t>
        </is>
      </c>
      <c r="O16" s="0" t="inlineStr">
        <is>
          <t>2.0|Molto sotto (y_low)</t>
        </is>
      </c>
      <c r="P16" s="0" t="n">
        <v>2</v>
      </c>
      <c r="Q16" s="0" t="inlineStr">
        <is>
          <t>Rischio misconcezioni / confidenza fuori bersaglio</t>
        </is>
      </c>
      <c r="R16" s="0" t="inlineStr">
        <is>
          <t>Rischio misconcezioni / confidenza fuori bersaglio — Scegli 3 risposte sbagliate e riscrivile con regola/criterio: se non trovi la regola, la prossima volta confidenza bassa.</t>
        </is>
      </c>
      <c r="S16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7">
      <c r="A17" s="26" t="n">
        <v>16</v>
      </c>
      <c r="B17" s="27" t="n">
        <v>2</v>
      </c>
      <c r="C17" s="27" t="n">
        <v>20</v>
      </c>
      <c r="D17" s="27" t="n">
        <v>20</v>
      </c>
      <c r="E17" s="27" t="n">
        <v>60</v>
      </c>
      <c r="F17" s="27" t="n">
        <v>-40</v>
      </c>
      <c r="G17" s="26" t="inlineStr">
        <is>
          <t>Sotto 2</t>
        </is>
      </c>
      <c r="H17" s="27" t="n">
        <v>2</v>
      </c>
      <c r="I17" s="28" t="n">
        <v>0</v>
      </c>
      <c r="J17" s="28" t="n">
        <v>2</v>
      </c>
      <c r="K17" s="29" t="inlineStr">
        <is>
          <t>Inconsapevolezza marcata (calibrazione scarsa)</t>
        </is>
      </c>
      <c r="L17" s="29" t="inlineStr">
        <is>
          <t>Inconsapevolezza marcata (calibrazione scarsa) — Per ogni domanda: scrivi 1 riga di motivazione. Se non la sai scrivere, confidenza bassa senza vergogna.</t>
        </is>
      </c>
      <c r="M17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17" s="28" t="inlineStr">
        <is>
          <t>2.0|Sotto 2</t>
        </is>
      </c>
      <c r="O17" s="0" t="inlineStr">
        <is>
          <t>2.0|Sotto 2</t>
        </is>
      </c>
      <c r="P17" s="0" t="n">
        <v>2</v>
      </c>
      <c r="Q17" s="0" t="inlineStr">
        <is>
          <t>Inconsapevolezza marcata (calibrazione scarsa)</t>
        </is>
      </c>
      <c r="R17" s="0" t="inlineStr">
        <is>
          <t>Inconsapevolezza marcata (calibrazione scarsa) — Per ogni domanda: scrivi 1 riga di motivazione. Se non la sai scrivere, confidenza bassa senza vergogna.</t>
        </is>
      </c>
      <c r="S17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8">
      <c r="A18" s="26" t="n">
        <v>17</v>
      </c>
      <c r="B18" s="27" t="n">
        <v>2</v>
      </c>
      <c r="C18" s="27" t="n">
        <v>20</v>
      </c>
      <c r="D18" s="27" t="n">
        <v>20</v>
      </c>
      <c r="E18" s="27" t="n">
        <v>60</v>
      </c>
      <c r="F18" s="27" t="n">
        <v>-40</v>
      </c>
      <c r="G18" s="26" t="inlineStr">
        <is>
          <t>Sotto 1</t>
        </is>
      </c>
      <c r="H18" s="27" t="n">
        <v>11</v>
      </c>
      <c r="I18" s="28" t="n">
        <v>0</v>
      </c>
      <c r="J18" s="28" t="n">
        <v>2</v>
      </c>
      <c r="K18" s="29" t="inlineStr">
        <is>
          <t>Incertezza / calibrazione da migliorare</t>
        </is>
      </c>
      <c r="L18" s="29" t="inlineStr">
        <is>
          <t>Incertezza / calibrazione da migliorare — Allenati con un controllo: 'posso spiegare in 10 secondi perché?' Se sì alza, se no abbassa la confidenza.</t>
        </is>
      </c>
      <c r="M18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18" s="28" t="inlineStr">
        <is>
          <t>2.0|Sotto 1</t>
        </is>
      </c>
      <c r="O18" s="0" t="inlineStr">
        <is>
          <t>2.0|Sotto 1</t>
        </is>
      </c>
      <c r="P18" s="0" t="n">
        <v>2</v>
      </c>
      <c r="Q18" s="0" t="inlineStr">
        <is>
          <t>Incertezza / calibrazione da migliorare</t>
        </is>
      </c>
      <c r="R18" s="0" t="inlineStr">
        <is>
          <t>Incertezza / calibrazione da migliorare — Allenati con un controllo: 'posso spiegare in 10 secondi perché?' Se sì alza, se no abbassa la confidenza.</t>
        </is>
      </c>
      <c r="S18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19">
      <c r="A19" s="26" t="n">
        <v>18</v>
      </c>
      <c r="B19" s="27" t="n">
        <v>2</v>
      </c>
      <c r="C19" s="27" t="n">
        <v>20</v>
      </c>
      <c r="D19" s="27" t="n">
        <v>20</v>
      </c>
      <c r="E19" s="27" t="n">
        <v>60</v>
      </c>
      <c r="F19" s="27" t="n">
        <v>-40</v>
      </c>
      <c r="G19" s="26" t="inlineStr">
        <is>
          <t>Sulla spezzata (y_min)</t>
        </is>
      </c>
      <c r="H19" s="27" t="n">
        <v>20</v>
      </c>
      <c r="I19" s="28" t="n">
        <v>0</v>
      </c>
      <c r="J19" s="28" t="n">
        <v>2</v>
      </c>
      <c r="K19" s="29" t="inlineStr">
        <is>
          <t>Calibrazione minima OK</t>
        </is>
      </c>
      <c r="L19" s="29" t="inlineStr">
        <is>
          <t>Calibrazione minima OK — Obiettivo: aumentare la precisione delle motivazioni (non solo la risposta) per salire di livello.</t>
        </is>
      </c>
      <c r="M19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19" s="28" t="inlineStr">
        <is>
          <t>2.0|Sulla spezzata (y_min)</t>
        </is>
      </c>
      <c r="O19" s="0" t="inlineStr">
        <is>
          <t>2.0|Sulla spezzata (y_min)</t>
        </is>
      </c>
      <c r="P19" s="0" t="n">
        <v>2</v>
      </c>
      <c r="Q19" s="0" t="inlineStr">
        <is>
          <t>Calibrazione minima OK</t>
        </is>
      </c>
      <c r="R19" s="0" t="inlineStr">
        <is>
          <t>Calibrazione minima OK — Obiettivo: aumentare la precisione delle motivazioni (non solo la risposta) per salire di livello.</t>
        </is>
      </c>
      <c r="S19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20">
      <c r="A20" s="26" t="n">
        <v>19</v>
      </c>
      <c r="B20" s="27" t="n">
        <v>2</v>
      </c>
      <c r="C20" s="27" t="n">
        <v>20</v>
      </c>
      <c r="D20" s="27" t="n">
        <v>20</v>
      </c>
      <c r="E20" s="27" t="n">
        <v>60</v>
      </c>
      <c r="F20" s="27" t="n">
        <v>-40</v>
      </c>
      <c r="G20" s="26" t="inlineStr">
        <is>
          <t>Sopra 1</t>
        </is>
      </c>
      <c r="H20" s="27" t="n">
        <v>26</v>
      </c>
      <c r="I20" s="28" t="n">
        <v>0</v>
      </c>
      <c r="J20" s="28" t="n">
        <v>2</v>
      </c>
      <c r="K20" s="29" t="inlineStr">
        <is>
          <t>Buona calibrazione (sa e lo sa)</t>
        </is>
      </c>
      <c r="L20" s="29" t="inlineStr">
        <is>
          <t>Buona calibrazione (sa e lo sa) — Consolida: rivedi 2 errori e scrivi la 'regola d'oro' che li evita.</t>
        </is>
      </c>
      <c r="M20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20" s="28" t="inlineStr">
        <is>
          <t>2.0|Sopra 1</t>
        </is>
      </c>
      <c r="O20" s="0" t="inlineStr">
        <is>
          <t>2.0|Sopra 1</t>
        </is>
      </c>
      <c r="P20" s="0" t="n">
        <v>2</v>
      </c>
      <c r="Q20" s="0" t="inlineStr">
        <is>
          <t>Buona calibrazione (sa e lo sa)</t>
        </is>
      </c>
      <c r="R20" s="0" t="inlineStr">
        <is>
          <t>Buona calibrazione (sa e lo sa) — Consolida: rivedi 2 errori e scrivi la 'regola d'oro' che li evita.</t>
        </is>
      </c>
      <c r="S20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21">
      <c r="A21" s="26" t="n">
        <v>20</v>
      </c>
      <c r="B21" s="27" t="n">
        <v>2</v>
      </c>
      <c r="C21" s="27" t="n">
        <v>20</v>
      </c>
      <c r="D21" s="27" t="n">
        <v>20</v>
      </c>
      <c r="E21" s="27" t="n">
        <v>60</v>
      </c>
      <c r="F21" s="27" t="n">
        <v>-40</v>
      </c>
      <c r="G21" s="26" t="inlineStr">
        <is>
          <t>Sopra 2</t>
        </is>
      </c>
      <c r="H21" s="27" t="n">
        <v>32</v>
      </c>
      <c r="I21" s="28" t="n">
        <v>0</v>
      </c>
      <c r="J21" s="28" t="n">
        <v>2</v>
      </c>
      <c r="K21" s="29" t="inlineStr">
        <is>
          <t>Consapevolezza alta (molto ben tarato)</t>
        </is>
      </c>
      <c r="L21" s="29" t="inlineStr">
        <is>
          <t>Consapevolezza alta (molto ben tarato) — Fai un passo in più: spiega a un compagno il criterio (insegnare = super test).</t>
        </is>
      </c>
      <c r="M21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21" s="28" t="inlineStr">
        <is>
          <t>2.0|Sopra 2</t>
        </is>
      </c>
      <c r="O21" s="0" t="inlineStr">
        <is>
          <t>2.0|Sopra 2</t>
        </is>
      </c>
      <c r="P21" s="0" t="n">
        <v>2</v>
      </c>
      <c r="Q21" s="0" t="inlineStr">
        <is>
          <t>Consapevolezza alta (molto ben tarato)</t>
        </is>
      </c>
      <c r="R21" s="0" t="inlineStr">
        <is>
          <t>Consapevolezza alta (molto ben tarato) — Fai un passo in più: spiega a un compagno il criterio (insegnare = super test).</t>
        </is>
      </c>
      <c r="S21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22">
      <c r="A22" s="26" t="n">
        <v>21</v>
      </c>
      <c r="B22" s="27" t="n">
        <v>2</v>
      </c>
      <c r="C22" s="27" t="n">
        <v>20</v>
      </c>
      <c r="D22" s="27" t="n">
        <v>20</v>
      </c>
      <c r="E22" s="27" t="n">
        <v>60</v>
      </c>
      <c r="F22" s="27" t="n">
        <v>-40</v>
      </c>
      <c r="G22" s="26" t="inlineStr">
        <is>
          <t>Retta consapevolezza (y_max)</t>
        </is>
      </c>
      <c r="H22" s="27" t="n">
        <v>60</v>
      </c>
      <c r="I22" s="28" t="n">
        <v>0</v>
      </c>
      <c r="J22" s="28" t="n">
        <v>2</v>
      </c>
      <c r="K22" s="29" t="inlineStr">
        <is>
          <t>Consapevolezza eccellente</t>
        </is>
      </c>
      <c r="L22" s="29" t="inlineStr">
        <is>
          <t>Consapevolezza eccellente — Sfida extra: prova a individuare i casi limite e le eccezioni (rafforza il pensiero critico).</t>
        </is>
      </c>
      <c r="M22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22" s="28" t="inlineStr">
        <is>
          <t>2.0|Retta consapevolezza (y_max)</t>
        </is>
      </c>
      <c r="O22" s="0" t="inlineStr">
        <is>
          <t>2.0|Retta consapevolezza (y_max)</t>
        </is>
      </c>
      <c r="P22" s="0" t="n">
        <v>2</v>
      </c>
      <c r="Q22" s="0" t="inlineStr">
        <is>
          <t>Consapevolezza eccellente</t>
        </is>
      </c>
      <c r="R22" s="0" t="inlineStr">
        <is>
          <t>Consapevolezza eccellente — Sfida extra: prova a individuare i casi limite e le eccezioni (rafforza il pensiero critico).</t>
        </is>
      </c>
      <c r="S22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23">
      <c r="A23" s="26" t="n">
        <v>22</v>
      </c>
      <c r="B23" s="27" t="n">
        <v>2.5</v>
      </c>
      <c r="C23" s="27" t="n">
        <v>25</v>
      </c>
      <c r="D23" s="27" t="n">
        <v>25</v>
      </c>
      <c r="E23" s="27" t="n">
        <v>75</v>
      </c>
      <c r="F23" s="27" t="n">
        <v>-35</v>
      </c>
      <c r="G23" s="26" t="inlineStr">
        <is>
          <t>Molto sotto (y_low)</t>
        </is>
      </c>
      <c r="H23" s="27" t="n">
        <v>-35</v>
      </c>
      <c r="I23" s="28" t="n">
        <v>0</v>
      </c>
      <c r="J23" s="28" t="n">
        <v>2.5</v>
      </c>
      <c r="K23" s="29" t="inlineStr">
        <is>
          <t>Rischio misconcezioni / confidenza fuori bersaglio</t>
        </is>
      </c>
      <c r="L23" s="29" t="inlineStr">
        <is>
          <t>Rischio misconcezioni / confidenza fuori bersaglio — Scegli 3 risposte sbagliate e riscrivile con regola/criterio: se non trovi la regola, la prossima volta confidenza bassa.</t>
        </is>
      </c>
      <c r="M23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23" s="28" t="inlineStr">
        <is>
          <t>2.5|Molto sotto (y_low)</t>
        </is>
      </c>
      <c r="O23" s="0" t="inlineStr">
        <is>
          <t>2.5|Molto sotto (y_low)</t>
        </is>
      </c>
      <c r="P23" s="0" t="n">
        <v>2.5</v>
      </c>
      <c r="Q23" s="0" t="inlineStr">
        <is>
          <t>Rischio misconcezioni / confidenza fuori bersaglio</t>
        </is>
      </c>
      <c r="R23" s="0" t="inlineStr">
        <is>
          <t>Rischio misconcezioni / confidenza fuori bersaglio — Scegli 3 risposte sbagliate e riscrivile con regola/criterio: se non trovi la regola, la prossima volta confidenza bassa.</t>
        </is>
      </c>
      <c r="S23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24">
      <c r="A24" s="26" t="n">
        <v>23</v>
      </c>
      <c r="B24" s="27" t="n">
        <v>2.5</v>
      </c>
      <c r="C24" s="27" t="n">
        <v>25</v>
      </c>
      <c r="D24" s="27" t="n">
        <v>25</v>
      </c>
      <c r="E24" s="27" t="n">
        <v>75</v>
      </c>
      <c r="F24" s="27" t="n">
        <v>-35</v>
      </c>
      <c r="G24" s="26" t="inlineStr">
        <is>
          <t>Sotto 2</t>
        </is>
      </c>
      <c r="H24" s="27" t="n">
        <v>7</v>
      </c>
      <c r="I24" s="28" t="n">
        <v>0</v>
      </c>
      <c r="J24" s="28" t="n">
        <v>2.5</v>
      </c>
      <c r="K24" s="29" t="inlineStr">
        <is>
          <t>Inconsapevolezza marcata (calibrazione scarsa)</t>
        </is>
      </c>
      <c r="L24" s="29" t="inlineStr">
        <is>
          <t>Inconsapevolezza marcata (calibrazione scarsa) — Per ogni domanda: scrivi 1 riga di motivazione. Se non la sai scrivere, confidenza bassa senza vergogna.</t>
        </is>
      </c>
      <c r="M24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24" s="28" t="inlineStr">
        <is>
          <t>2.5|Sotto 2</t>
        </is>
      </c>
      <c r="O24" s="0" t="inlineStr">
        <is>
          <t>2.5|Sotto 2</t>
        </is>
      </c>
      <c r="P24" s="0" t="n">
        <v>2.5</v>
      </c>
      <c r="Q24" s="0" t="inlineStr">
        <is>
          <t>Inconsapevolezza marcata (calibrazione scarsa)</t>
        </is>
      </c>
      <c r="R24" s="0" t="inlineStr">
        <is>
          <t>Inconsapevolezza marcata (calibrazione scarsa) — Per ogni domanda: scrivi 1 riga di motivazione. Se non la sai scrivere, confidenza bassa senza vergogna.</t>
        </is>
      </c>
      <c r="S24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25">
      <c r="A25" s="26" t="n">
        <v>24</v>
      </c>
      <c r="B25" s="27" t="n">
        <v>2.5</v>
      </c>
      <c r="C25" s="27" t="n">
        <v>25</v>
      </c>
      <c r="D25" s="27" t="n">
        <v>25</v>
      </c>
      <c r="E25" s="27" t="n">
        <v>75</v>
      </c>
      <c r="F25" s="27" t="n">
        <v>-35</v>
      </c>
      <c r="G25" s="26" t="inlineStr">
        <is>
          <t>Sotto 1</t>
        </is>
      </c>
      <c r="H25" s="27" t="n">
        <v>16</v>
      </c>
      <c r="I25" s="28" t="n">
        <v>0</v>
      </c>
      <c r="J25" s="28" t="n">
        <v>2.5</v>
      </c>
      <c r="K25" s="29" t="inlineStr">
        <is>
          <t>Incertezza / calibrazione da migliorare</t>
        </is>
      </c>
      <c r="L25" s="29" t="inlineStr">
        <is>
          <t>Incertezza / calibrazione da migliorare — Allenati con un controllo: 'posso spiegare in 10 secondi perché?' Se sì alza, se no abbassa la confidenza.</t>
        </is>
      </c>
      <c r="M25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25" s="28" t="inlineStr">
        <is>
          <t>2.5|Sotto 1</t>
        </is>
      </c>
      <c r="O25" s="0" t="inlineStr">
        <is>
          <t>2.5|Sotto 1</t>
        </is>
      </c>
      <c r="P25" s="0" t="n">
        <v>2.5</v>
      </c>
      <c r="Q25" s="0" t="inlineStr">
        <is>
          <t>Incertezza / calibrazione da migliorare</t>
        </is>
      </c>
      <c r="R25" s="0" t="inlineStr">
        <is>
          <t>Incertezza / calibrazione da migliorare — Allenati con un controllo: 'posso spiegare in 10 secondi perché?' Se sì alza, se no abbassa la confidenza.</t>
        </is>
      </c>
      <c r="S25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26">
      <c r="A26" s="26" t="n">
        <v>25</v>
      </c>
      <c r="B26" s="27" t="n">
        <v>2.5</v>
      </c>
      <c r="C26" s="27" t="n">
        <v>25</v>
      </c>
      <c r="D26" s="27" t="n">
        <v>25</v>
      </c>
      <c r="E26" s="27" t="n">
        <v>75</v>
      </c>
      <c r="F26" s="27" t="n">
        <v>-35</v>
      </c>
      <c r="G26" s="26" t="inlineStr">
        <is>
          <t>Sulla spezzata (y_min)</t>
        </is>
      </c>
      <c r="H26" s="27" t="n">
        <v>25</v>
      </c>
      <c r="I26" s="28" t="n">
        <v>0</v>
      </c>
      <c r="J26" s="28" t="n">
        <v>2.5</v>
      </c>
      <c r="K26" s="29" t="inlineStr">
        <is>
          <t>Calibrazione minima OK</t>
        </is>
      </c>
      <c r="L26" s="29" t="inlineStr">
        <is>
          <t>Calibrazione minima OK — Obiettivo: aumentare la precisione delle motivazioni (non solo la risposta) per salire di livello.</t>
        </is>
      </c>
      <c r="M26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26" s="28" t="inlineStr">
        <is>
          <t>2.5|Sulla spezzata (y_min)</t>
        </is>
      </c>
      <c r="O26" s="0" t="inlineStr">
        <is>
          <t>2.5|Sulla spezzata (y_min)</t>
        </is>
      </c>
      <c r="P26" s="0" t="n">
        <v>2.5</v>
      </c>
      <c r="Q26" s="0" t="inlineStr">
        <is>
          <t>Calibrazione minima OK</t>
        </is>
      </c>
      <c r="R26" s="0" t="inlineStr">
        <is>
          <t>Calibrazione minima OK — Obiettivo: aumentare la precisione delle motivazioni (non solo la risposta) per salire di livello.</t>
        </is>
      </c>
      <c r="S26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27">
      <c r="A27" s="26" t="n">
        <v>26</v>
      </c>
      <c r="B27" s="27" t="n">
        <v>2.5</v>
      </c>
      <c r="C27" s="27" t="n">
        <v>25</v>
      </c>
      <c r="D27" s="27" t="n">
        <v>25</v>
      </c>
      <c r="E27" s="27" t="n">
        <v>75</v>
      </c>
      <c r="F27" s="27" t="n">
        <v>-35</v>
      </c>
      <c r="G27" s="26" t="inlineStr">
        <is>
          <t>Sopra 1</t>
        </is>
      </c>
      <c r="H27" s="27" t="n">
        <v>32.5</v>
      </c>
      <c r="I27" s="28" t="n">
        <v>0</v>
      </c>
      <c r="J27" s="28" t="n">
        <v>2.5</v>
      </c>
      <c r="K27" s="29" t="inlineStr">
        <is>
          <t>Buona calibrazione (sa e lo sa)</t>
        </is>
      </c>
      <c r="L27" s="29" t="inlineStr">
        <is>
          <t>Buona calibrazione (sa e lo sa) — Consolida: rivedi 2 errori e scrivi la 'regola d'oro' che li evita.</t>
        </is>
      </c>
      <c r="M27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27" s="28" t="inlineStr">
        <is>
          <t>2.5|Sopra 1</t>
        </is>
      </c>
      <c r="O27" s="0" t="inlineStr">
        <is>
          <t>2.5|Sopra 1</t>
        </is>
      </c>
      <c r="P27" s="0" t="n">
        <v>2.5</v>
      </c>
      <c r="Q27" s="0" t="inlineStr">
        <is>
          <t>Buona calibrazione (sa e lo sa)</t>
        </is>
      </c>
      <c r="R27" s="0" t="inlineStr">
        <is>
          <t>Buona calibrazione (sa e lo sa) — Consolida: rivedi 2 errori e scrivi la 'regola d'oro' che li evita.</t>
        </is>
      </c>
      <c r="S27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28">
      <c r="A28" s="26" t="n">
        <v>27</v>
      </c>
      <c r="B28" s="27" t="n">
        <v>2.5</v>
      </c>
      <c r="C28" s="27" t="n">
        <v>25</v>
      </c>
      <c r="D28" s="27" t="n">
        <v>25</v>
      </c>
      <c r="E28" s="27" t="n">
        <v>75</v>
      </c>
      <c r="F28" s="27" t="n">
        <v>-35</v>
      </c>
      <c r="G28" s="26" t="inlineStr">
        <is>
          <t>Sopra 2</t>
        </is>
      </c>
      <c r="H28" s="27" t="n">
        <v>40</v>
      </c>
      <c r="I28" s="28" t="n">
        <v>0</v>
      </c>
      <c r="J28" s="28" t="n">
        <v>2.5</v>
      </c>
      <c r="K28" s="29" t="inlineStr">
        <is>
          <t>Consapevolezza alta (molto ben tarato)</t>
        </is>
      </c>
      <c r="L28" s="29" t="inlineStr">
        <is>
          <t>Consapevolezza alta (molto ben tarato) — Fai un passo in più: spiega a un compagno il criterio (insegnare = super test).</t>
        </is>
      </c>
      <c r="M28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28" s="28" t="inlineStr">
        <is>
          <t>2.5|Sopra 2</t>
        </is>
      </c>
      <c r="O28" s="0" t="inlineStr">
        <is>
          <t>2.5|Sopra 2</t>
        </is>
      </c>
      <c r="P28" s="0" t="n">
        <v>2.5</v>
      </c>
      <c r="Q28" s="0" t="inlineStr">
        <is>
          <t>Consapevolezza alta (molto ben tarato)</t>
        </is>
      </c>
      <c r="R28" s="0" t="inlineStr">
        <is>
          <t>Consapevolezza alta (molto ben tarato) — Fai un passo in più: spiega a un compagno il criterio (insegnare = super test).</t>
        </is>
      </c>
      <c r="S28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29">
      <c r="A29" s="26" t="n">
        <v>28</v>
      </c>
      <c r="B29" s="27" t="n">
        <v>2.5</v>
      </c>
      <c r="C29" s="27" t="n">
        <v>25</v>
      </c>
      <c r="D29" s="27" t="n">
        <v>25</v>
      </c>
      <c r="E29" s="27" t="n">
        <v>75</v>
      </c>
      <c r="F29" s="27" t="n">
        <v>-35</v>
      </c>
      <c r="G29" s="26" t="inlineStr">
        <is>
          <t>Retta consapevolezza (y_max)</t>
        </is>
      </c>
      <c r="H29" s="27" t="n">
        <v>75</v>
      </c>
      <c r="I29" s="28" t="n">
        <v>0</v>
      </c>
      <c r="J29" s="28" t="n">
        <v>2.5</v>
      </c>
      <c r="K29" s="29" t="inlineStr">
        <is>
          <t>Consapevolezza eccellente</t>
        </is>
      </c>
      <c r="L29" s="29" t="inlineStr">
        <is>
          <t>Consapevolezza eccellente — Sfida extra: prova a individuare i casi limite e le eccezioni (rafforza il pensiero critico).</t>
        </is>
      </c>
      <c r="M29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29" s="28" t="inlineStr">
        <is>
          <t>2.5|Retta consapevolezza (y_max)</t>
        </is>
      </c>
      <c r="O29" s="0" t="inlineStr">
        <is>
          <t>2.5|Retta consapevolezza (y_max)</t>
        </is>
      </c>
      <c r="P29" s="0" t="n">
        <v>2.5</v>
      </c>
      <c r="Q29" s="0" t="inlineStr">
        <is>
          <t>Consapevolezza eccellente</t>
        </is>
      </c>
      <c r="R29" s="0" t="inlineStr">
        <is>
          <t>Consapevolezza eccellente — Sfida extra: prova a individuare i casi limite e le eccezioni (rafforza il pensiero critico).</t>
        </is>
      </c>
      <c r="S29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30">
      <c r="A30" s="26" t="n">
        <v>29</v>
      </c>
      <c r="B30" s="27" t="n">
        <v>3</v>
      </c>
      <c r="C30" s="27" t="n">
        <v>30</v>
      </c>
      <c r="D30" s="27" t="n">
        <v>30</v>
      </c>
      <c r="E30" s="27" t="n">
        <v>90</v>
      </c>
      <c r="F30" s="27" t="n">
        <v>-30</v>
      </c>
      <c r="G30" s="26" t="inlineStr">
        <is>
          <t>Molto sotto (y_low)</t>
        </is>
      </c>
      <c r="H30" s="27" t="n">
        <v>-30</v>
      </c>
      <c r="I30" s="28" t="n">
        <v>0</v>
      </c>
      <c r="J30" s="28" t="n">
        <v>3</v>
      </c>
      <c r="K30" s="29" t="inlineStr">
        <is>
          <t>Rischio misconcezioni / confidenza fuori bersaglio</t>
        </is>
      </c>
      <c r="L30" s="29" t="inlineStr">
        <is>
          <t>Rischio misconcezioni / confidenza fuori bersaglio — Scegli 3 risposte sbagliate e riscrivile con regola/criterio: se non trovi la regola, la prossima volta confidenza bassa.</t>
        </is>
      </c>
      <c r="M30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30" s="28" t="inlineStr">
        <is>
          <t>3.0|Molto sotto (y_low)</t>
        </is>
      </c>
      <c r="O30" s="0" t="inlineStr">
        <is>
          <t>3.0|Molto sotto (y_low)</t>
        </is>
      </c>
      <c r="P30" s="0" t="n">
        <v>3</v>
      </c>
      <c r="Q30" s="0" t="inlineStr">
        <is>
          <t>Rischio misconcezioni / confidenza fuori bersaglio</t>
        </is>
      </c>
      <c r="R30" s="0" t="inlineStr">
        <is>
          <t>Rischio misconcezioni / confidenza fuori bersaglio — Scegli 3 risposte sbagliate e riscrivile con regola/criterio: se non trovi la regola, la prossima volta confidenza bassa.</t>
        </is>
      </c>
      <c r="S30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31">
      <c r="A31" s="26" t="n">
        <v>30</v>
      </c>
      <c r="B31" s="27" t="n">
        <v>3</v>
      </c>
      <c r="C31" s="27" t="n">
        <v>30</v>
      </c>
      <c r="D31" s="27" t="n">
        <v>30</v>
      </c>
      <c r="E31" s="27" t="n">
        <v>90</v>
      </c>
      <c r="F31" s="27" t="n">
        <v>-30</v>
      </c>
      <c r="G31" s="26" t="inlineStr">
        <is>
          <t>Sotto 2</t>
        </is>
      </c>
      <c r="H31" s="27" t="n">
        <v>12</v>
      </c>
      <c r="I31" s="28" t="n">
        <v>0</v>
      </c>
      <c r="J31" s="28" t="n">
        <v>3</v>
      </c>
      <c r="K31" s="29" t="inlineStr">
        <is>
          <t>Inconsapevolezza marcata (calibrazione scarsa)</t>
        </is>
      </c>
      <c r="L31" s="29" t="inlineStr">
        <is>
          <t>Inconsapevolezza marcata (calibrazione scarsa) — Per ogni domanda: scrivi 1 riga di motivazione. Se non la sai scrivere, confidenza bassa senza vergogna.</t>
        </is>
      </c>
      <c r="M31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31" s="28" t="inlineStr">
        <is>
          <t>3.0|Sotto 2</t>
        </is>
      </c>
      <c r="O31" s="0" t="inlineStr">
        <is>
          <t>3.0|Sotto 2</t>
        </is>
      </c>
      <c r="P31" s="0" t="n">
        <v>3</v>
      </c>
      <c r="Q31" s="0" t="inlineStr">
        <is>
          <t>Inconsapevolezza marcata (calibrazione scarsa)</t>
        </is>
      </c>
      <c r="R31" s="0" t="inlineStr">
        <is>
          <t>Inconsapevolezza marcata (calibrazione scarsa) — Per ogni domanda: scrivi 1 riga di motivazione. Se non la sai scrivere, confidenza bassa senza vergogna.</t>
        </is>
      </c>
      <c r="S31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32">
      <c r="A32" s="26" t="n">
        <v>31</v>
      </c>
      <c r="B32" s="27" t="n">
        <v>3</v>
      </c>
      <c r="C32" s="27" t="n">
        <v>30</v>
      </c>
      <c r="D32" s="27" t="n">
        <v>30</v>
      </c>
      <c r="E32" s="27" t="n">
        <v>90</v>
      </c>
      <c r="F32" s="27" t="n">
        <v>-30</v>
      </c>
      <c r="G32" s="26" t="inlineStr">
        <is>
          <t>Sotto 1</t>
        </is>
      </c>
      <c r="H32" s="27" t="n">
        <v>21</v>
      </c>
      <c r="I32" s="28" t="n">
        <v>0</v>
      </c>
      <c r="J32" s="28" t="n">
        <v>3</v>
      </c>
      <c r="K32" s="29" t="inlineStr">
        <is>
          <t>Incertezza / calibrazione da migliorare</t>
        </is>
      </c>
      <c r="L32" s="29" t="inlineStr">
        <is>
          <t>Incertezza / calibrazione da migliorare — Allenati con un controllo: 'posso spiegare in 10 secondi perché?' Se sì alza, se no abbassa la confidenza.</t>
        </is>
      </c>
      <c r="M32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32" s="28" t="inlineStr">
        <is>
          <t>3.0|Sotto 1</t>
        </is>
      </c>
      <c r="O32" s="0" t="inlineStr">
        <is>
          <t>3.0|Sotto 1</t>
        </is>
      </c>
      <c r="P32" s="0" t="n">
        <v>3</v>
      </c>
      <c r="Q32" s="0" t="inlineStr">
        <is>
          <t>Incertezza / calibrazione da migliorare</t>
        </is>
      </c>
      <c r="R32" s="0" t="inlineStr">
        <is>
          <t>Incertezza / calibrazione da migliorare — Allenati con un controllo: 'posso spiegare in 10 secondi perché?' Se sì alza, se no abbassa la confidenza.</t>
        </is>
      </c>
      <c r="S32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33">
      <c r="A33" s="26" t="n">
        <v>32</v>
      </c>
      <c r="B33" s="27" t="n">
        <v>3</v>
      </c>
      <c r="C33" s="27" t="n">
        <v>30</v>
      </c>
      <c r="D33" s="27" t="n">
        <v>30</v>
      </c>
      <c r="E33" s="27" t="n">
        <v>90</v>
      </c>
      <c r="F33" s="27" t="n">
        <v>-30</v>
      </c>
      <c r="G33" s="26" t="inlineStr">
        <is>
          <t>Sulla spezzata (y_min)</t>
        </is>
      </c>
      <c r="H33" s="27" t="n">
        <v>30</v>
      </c>
      <c r="I33" s="28" t="n">
        <v>0</v>
      </c>
      <c r="J33" s="28" t="n">
        <v>3</v>
      </c>
      <c r="K33" s="29" t="inlineStr">
        <is>
          <t>Calibrazione minima OK</t>
        </is>
      </c>
      <c r="L33" s="29" t="inlineStr">
        <is>
          <t>Calibrazione minima OK — Obiettivo: aumentare la precisione delle motivazioni (non solo la risposta) per salire di livello.</t>
        </is>
      </c>
      <c r="M33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33" s="28" t="inlineStr">
        <is>
          <t>3.0|Sulla spezzata (y_min)</t>
        </is>
      </c>
      <c r="O33" s="0" t="inlineStr">
        <is>
          <t>3.0|Sulla spezzata (y_min)</t>
        </is>
      </c>
      <c r="P33" s="0" t="n">
        <v>3</v>
      </c>
      <c r="Q33" s="0" t="inlineStr">
        <is>
          <t>Calibrazione minima OK</t>
        </is>
      </c>
      <c r="R33" s="0" t="inlineStr">
        <is>
          <t>Calibrazione minima OK — Obiettivo: aumentare la precisione delle motivazioni (non solo la risposta) per salire di livello.</t>
        </is>
      </c>
      <c r="S33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34">
      <c r="A34" s="26" t="n">
        <v>33</v>
      </c>
      <c r="B34" s="27" t="n">
        <v>3</v>
      </c>
      <c r="C34" s="27" t="n">
        <v>30</v>
      </c>
      <c r="D34" s="27" t="n">
        <v>30</v>
      </c>
      <c r="E34" s="27" t="n">
        <v>90</v>
      </c>
      <c r="F34" s="27" t="n">
        <v>-30</v>
      </c>
      <c r="G34" s="26" t="inlineStr">
        <is>
          <t>Sopra 1</t>
        </is>
      </c>
      <c r="H34" s="27" t="n">
        <v>39</v>
      </c>
      <c r="I34" s="28" t="n">
        <v>0</v>
      </c>
      <c r="J34" s="28" t="n">
        <v>3</v>
      </c>
      <c r="K34" s="29" t="inlineStr">
        <is>
          <t>Buona calibrazione (sa e lo sa)</t>
        </is>
      </c>
      <c r="L34" s="29" t="inlineStr">
        <is>
          <t>Buona calibrazione (sa e lo sa) — Consolida: rivedi 2 errori e scrivi la 'regola d'oro' che li evita.</t>
        </is>
      </c>
      <c r="M34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34" s="28" t="inlineStr">
        <is>
          <t>3.0|Sopra 1</t>
        </is>
      </c>
      <c r="O34" s="0" t="inlineStr">
        <is>
          <t>3.0|Sopra 1</t>
        </is>
      </c>
      <c r="P34" s="0" t="n">
        <v>3</v>
      </c>
      <c r="Q34" s="0" t="inlineStr">
        <is>
          <t>Buona calibrazione (sa e lo sa)</t>
        </is>
      </c>
      <c r="R34" s="0" t="inlineStr">
        <is>
          <t>Buona calibrazione (sa e lo sa) — Consolida: rivedi 2 errori e scrivi la 'regola d'oro' che li evita.</t>
        </is>
      </c>
      <c r="S34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35">
      <c r="A35" s="26" t="n">
        <v>34</v>
      </c>
      <c r="B35" s="27" t="n">
        <v>3</v>
      </c>
      <c r="C35" s="27" t="n">
        <v>30</v>
      </c>
      <c r="D35" s="27" t="n">
        <v>30</v>
      </c>
      <c r="E35" s="27" t="n">
        <v>90</v>
      </c>
      <c r="F35" s="27" t="n">
        <v>-30</v>
      </c>
      <c r="G35" s="26" t="inlineStr">
        <is>
          <t>Sopra 2</t>
        </is>
      </c>
      <c r="H35" s="27" t="n">
        <v>48</v>
      </c>
      <c r="I35" s="28" t="n">
        <v>0</v>
      </c>
      <c r="J35" s="28" t="n">
        <v>3</v>
      </c>
      <c r="K35" s="29" t="inlineStr">
        <is>
          <t>Consapevolezza alta (molto ben tarato)</t>
        </is>
      </c>
      <c r="L35" s="29" t="inlineStr">
        <is>
          <t>Consapevolezza alta (molto ben tarato) — Fai un passo in più: spiega a un compagno il criterio (insegnare = super test).</t>
        </is>
      </c>
      <c r="M35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35" s="28" t="inlineStr">
        <is>
          <t>3.0|Sopra 2</t>
        </is>
      </c>
      <c r="O35" s="0" t="inlineStr">
        <is>
          <t>3.0|Sopra 2</t>
        </is>
      </c>
      <c r="P35" s="0" t="n">
        <v>3</v>
      </c>
      <c r="Q35" s="0" t="inlineStr">
        <is>
          <t>Consapevolezza alta (molto ben tarato)</t>
        </is>
      </c>
      <c r="R35" s="0" t="inlineStr">
        <is>
          <t>Consapevolezza alta (molto ben tarato) — Fai un passo in più: spiega a un compagno il criterio (insegnare = super test).</t>
        </is>
      </c>
      <c r="S35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36">
      <c r="A36" s="26" t="n">
        <v>35</v>
      </c>
      <c r="B36" s="27" t="n">
        <v>3</v>
      </c>
      <c r="C36" s="27" t="n">
        <v>30</v>
      </c>
      <c r="D36" s="27" t="n">
        <v>30</v>
      </c>
      <c r="E36" s="27" t="n">
        <v>90</v>
      </c>
      <c r="F36" s="27" t="n">
        <v>-30</v>
      </c>
      <c r="G36" s="26" t="inlineStr">
        <is>
          <t>Retta consapevolezza (y_max)</t>
        </is>
      </c>
      <c r="H36" s="27" t="n">
        <v>90</v>
      </c>
      <c r="I36" s="28" t="n">
        <v>0</v>
      </c>
      <c r="J36" s="28" t="n">
        <v>3</v>
      </c>
      <c r="K36" s="29" t="inlineStr">
        <is>
          <t>Consapevolezza eccellente</t>
        </is>
      </c>
      <c r="L36" s="29" t="inlineStr">
        <is>
          <t>Consapevolezza eccellente — Sfida extra: prova a individuare i casi limite e le eccezioni (rafforza il pensiero critico).</t>
        </is>
      </c>
      <c r="M36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36" s="28" t="inlineStr">
        <is>
          <t>3.0|Retta consapevolezza (y_max)</t>
        </is>
      </c>
      <c r="O36" s="0" t="inlineStr">
        <is>
          <t>3.0|Retta consapevolezza (y_max)</t>
        </is>
      </c>
      <c r="P36" s="0" t="n">
        <v>3</v>
      </c>
      <c r="Q36" s="0" t="inlineStr">
        <is>
          <t>Consapevolezza eccellente</t>
        </is>
      </c>
      <c r="R36" s="0" t="inlineStr">
        <is>
          <t>Consapevolezza eccellente — Sfida extra: prova a individuare i casi limite e le eccezioni (rafforza il pensiero critico).</t>
        </is>
      </c>
      <c r="S36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37">
      <c r="A37" s="26" t="n">
        <v>36</v>
      </c>
      <c r="B37" s="27" t="n">
        <v>3.5</v>
      </c>
      <c r="C37" s="27" t="n">
        <v>35</v>
      </c>
      <c r="D37" s="27" t="n">
        <v>35</v>
      </c>
      <c r="E37" s="27" t="n">
        <v>105</v>
      </c>
      <c r="F37" s="27" t="n">
        <v>-25</v>
      </c>
      <c r="G37" s="26" t="inlineStr">
        <is>
          <t>Molto sotto (y_low)</t>
        </is>
      </c>
      <c r="H37" s="27" t="n">
        <v>-25</v>
      </c>
      <c r="I37" s="28" t="n">
        <v>0</v>
      </c>
      <c r="J37" s="28" t="n">
        <v>3.5</v>
      </c>
      <c r="K37" s="29" t="inlineStr">
        <is>
          <t>Rischio misconcezioni / confidenza fuori bersaglio</t>
        </is>
      </c>
      <c r="L37" s="29" t="inlineStr">
        <is>
          <t>Rischio misconcezioni / confidenza fuori bersaglio — Scegli 3 risposte sbagliate e riscrivile con regola/criterio: se non trovi la regola, la prossima volta confidenza bassa.</t>
        </is>
      </c>
      <c r="M37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37" s="28" t="inlineStr">
        <is>
          <t>3.5|Molto sotto (y_low)</t>
        </is>
      </c>
      <c r="O37" s="0" t="inlineStr">
        <is>
          <t>3.5|Molto sotto (y_low)</t>
        </is>
      </c>
      <c r="P37" s="0" t="n">
        <v>3.5</v>
      </c>
      <c r="Q37" s="0" t="inlineStr">
        <is>
          <t>Rischio misconcezioni / confidenza fuori bersaglio</t>
        </is>
      </c>
      <c r="R37" s="0" t="inlineStr">
        <is>
          <t>Rischio misconcezioni / confidenza fuori bersaglio — Scegli 3 risposte sbagliate e riscrivile con regola/criterio: se non trovi la regola, la prossima volta confidenza bassa.</t>
        </is>
      </c>
      <c r="S37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38">
      <c r="A38" s="26" t="n">
        <v>37</v>
      </c>
      <c r="B38" s="27" t="n">
        <v>3.5</v>
      </c>
      <c r="C38" s="27" t="n">
        <v>35</v>
      </c>
      <c r="D38" s="27" t="n">
        <v>35</v>
      </c>
      <c r="E38" s="27" t="n">
        <v>105</v>
      </c>
      <c r="F38" s="27" t="n">
        <v>-25</v>
      </c>
      <c r="G38" s="26" t="inlineStr">
        <is>
          <t>Sotto 2</t>
        </is>
      </c>
      <c r="H38" s="27" t="n">
        <v>17</v>
      </c>
      <c r="I38" s="28" t="n">
        <v>0</v>
      </c>
      <c r="J38" s="28" t="n">
        <v>3.5</v>
      </c>
      <c r="K38" s="29" t="inlineStr">
        <is>
          <t>Inconsapevolezza marcata (calibrazione scarsa)</t>
        </is>
      </c>
      <c r="L38" s="29" t="inlineStr">
        <is>
          <t>Inconsapevolezza marcata (calibrazione scarsa) — Per ogni domanda: scrivi 1 riga di motivazione. Se non la sai scrivere, confidenza bassa senza vergogna.</t>
        </is>
      </c>
      <c r="M38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38" s="28" t="inlineStr">
        <is>
          <t>3.5|Sotto 2</t>
        </is>
      </c>
      <c r="O38" s="0" t="inlineStr">
        <is>
          <t>3.5|Sotto 2</t>
        </is>
      </c>
      <c r="P38" s="0" t="n">
        <v>3.5</v>
      </c>
      <c r="Q38" s="0" t="inlineStr">
        <is>
          <t>Inconsapevolezza marcata (calibrazione scarsa)</t>
        </is>
      </c>
      <c r="R38" s="0" t="inlineStr">
        <is>
          <t>Inconsapevolezza marcata (calibrazione scarsa) — Per ogni domanda: scrivi 1 riga di motivazione. Se non la sai scrivere, confidenza bassa senza vergogna.</t>
        </is>
      </c>
      <c r="S38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39">
      <c r="A39" s="26" t="n">
        <v>38</v>
      </c>
      <c r="B39" s="27" t="n">
        <v>3.5</v>
      </c>
      <c r="C39" s="27" t="n">
        <v>35</v>
      </c>
      <c r="D39" s="27" t="n">
        <v>35</v>
      </c>
      <c r="E39" s="27" t="n">
        <v>105</v>
      </c>
      <c r="F39" s="27" t="n">
        <v>-25</v>
      </c>
      <c r="G39" s="26" t="inlineStr">
        <is>
          <t>Sotto 1</t>
        </is>
      </c>
      <c r="H39" s="27" t="n">
        <v>26</v>
      </c>
      <c r="I39" s="28" t="n">
        <v>0</v>
      </c>
      <c r="J39" s="28" t="n">
        <v>3.5</v>
      </c>
      <c r="K39" s="29" t="inlineStr">
        <is>
          <t>Incertezza / calibrazione da migliorare</t>
        </is>
      </c>
      <c r="L39" s="29" t="inlineStr">
        <is>
          <t>Incertezza / calibrazione da migliorare — Allenati con un controllo: 'posso spiegare in 10 secondi perché?' Se sì alza, se no abbassa la confidenza.</t>
        </is>
      </c>
      <c r="M39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39" s="28" t="inlineStr">
        <is>
          <t>3.5|Sotto 1</t>
        </is>
      </c>
      <c r="O39" s="0" t="inlineStr">
        <is>
          <t>3.5|Sotto 1</t>
        </is>
      </c>
      <c r="P39" s="0" t="n">
        <v>3.5</v>
      </c>
      <c r="Q39" s="0" t="inlineStr">
        <is>
          <t>Incertezza / calibrazione da migliorare</t>
        </is>
      </c>
      <c r="R39" s="0" t="inlineStr">
        <is>
          <t>Incertezza / calibrazione da migliorare — Allenati con un controllo: 'posso spiegare in 10 secondi perché?' Se sì alza, se no abbassa la confidenza.</t>
        </is>
      </c>
      <c r="S39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40">
      <c r="A40" s="26" t="n">
        <v>39</v>
      </c>
      <c r="B40" s="27" t="n">
        <v>3.5</v>
      </c>
      <c r="C40" s="27" t="n">
        <v>35</v>
      </c>
      <c r="D40" s="27" t="n">
        <v>35</v>
      </c>
      <c r="E40" s="27" t="n">
        <v>105</v>
      </c>
      <c r="F40" s="27" t="n">
        <v>-25</v>
      </c>
      <c r="G40" s="26" t="inlineStr">
        <is>
          <t>Sulla spezzata (y_min)</t>
        </is>
      </c>
      <c r="H40" s="27" t="n">
        <v>35</v>
      </c>
      <c r="I40" s="28" t="n">
        <v>0</v>
      </c>
      <c r="J40" s="28" t="n">
        <v>3.5</v>
      </c>
      <c r="K40" s="29" t="inlineStr">
        <is>
          <t>Calibrazione minima OK</t>
        </is>
      </c>
      <c r="L40" s="29" t="inlineStr">
        <is>
          <t>Calibrazione minima OK — Obiettivo: aumentare la precisione delle motivazioni (non solo la risposta) per salire di livello.</t>
        </is>
      </c>
      <c r="M40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40" s="28" t="inlineStr">
        <is>
          <t>3.5|Sulla spezzata (y_min)</t>
        </is>
      </c>
      <c r="O40" s="0" t="inlineStr">
        <is>
          <t>3.5|Sulla spezzata (y_min)</t>
        </is>
      </c>
      <c r="P40" s="0" t="n">
        <v>3.5</v>
      </c>
      <c r="Q40" s="0" t="inlineStr">
        <is>
          <t>Calibrazione minima OK</t>
        </is>
      </c>
      <c r="R40" s="0" t="inlineStr">
        <is>
          <t>Calibrazione minima OK — Obiettivo: aumentare la precisione delle motivazioni (non solo la risposta) per salire di livello.</t>
        </is>
      </c>
      <c r="S40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41">
      <c r="A41" s="26" t="n">
        <v>40</v>
      </c>
      <c r="B41" s="27" t="n">
        <v>3.5</v>
      </c>
      <c r="C41" s="27" t="n">
        <v>35</v>
      </c>
      <c r="D41" s="27" t="n">
        <v>35</v>
      </c>
      <c r="E41" s="27" t="n">
        <v>105</v>
      </c>
      <c r="F41" s="27" t="n">
        <v>-25</v>
      </c>
      <c r="G41" s="26" t="inlineStr">
        <is>
          <t>Sopra 1</t>
        </is>
      </c>
      <c r="H41" s="27" t="n">
        <v>45.5</v>
      </c>
      <c r="I41" s="28" t="n">
        <v>0</v>
      </c>
      <c r="J41" s="28" t="n">
        <v>3.5</v>
      </c>
      <c r="K41" s="29" t="inlineStr">
        <is>
          <t>Buona calibrazione (sa e lo sa)</t>
        </is>
      </c>
      <c r="L41" s="29" t="inlineStr">
        <is>
          <t>Buona calibrazione (sa e lo sa) — Consolida: rivedi 2 errori e scrivi la 'regola d'oro' che li evita.</t>
        </is>
      </c>
      <c r="M41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41" s="28" t="inlineStr">
        <is>
          <t>3.5|Sopra 1</t>
        </is>
      </c>
      <c r="O41" s="0" t="inlineStr">
        <is>
          <t>3.5|Sopra 1</t>
        </is>
      </c>
      <c r="P41" s="0" t="n">
        <v>3.5</v>
      </c>
      <c r="Q41" s="0" t="inlineStr">
        <is>
          <t>Buona calibrazione (sa e lo sa)</t>
        </is>
      </c>
      <c r="R41" s="0" t="inlineStr">
        <is>
          <t>Buona calibrazione (sa e lo sa) — Consolida: rivedi 2 errori e scrivi la 'regola d'oro' che li evita.</t>
        </is>
      </c>
      <c r="S41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42">
      <c r="A42" s="26" t="n">
        <v>41</v>
      </c>
      <c r="B42" s="27" t="n">
        <v>3.5</v>
      </c>
      <c r="C42" s="27" t="n">
        <v>35</v>
      </c>
      <c r="D42" s="27" t="n">
        <v>35</v>
      </c>
      <c r="E42" s="27" t="n">
        <v>105</v>
      </c>
      <c r="F42" s="27" t="n">
        <v>-25</v>
      </c>
      <c r="G42" s="26" t="inlineStr">
        <is>
          <t>Sopra 2</t>
        </is>
      </c>
      <c r="H42" s="27" t="n">
        <v>56</v>
      </c>
      <c r="I42" s="28" t="n">
        <v>0</v>
      </c>
      <c r="J42" s="28" t="n">
        <v>3.5</v>
      </c>
      <c r="K42" s="29" t="inlineStr">
        <is>
          <t>Consapevolezza alta (molto ben tarato)</t>
        </is>
      </c>
      <c r="L42" s="29" t="inlineStr">
        <is>
          <t>Consapevolezza alta (molto ben tarato) — Fai un passo in più: spiega a un compagno il criterio (insegnare = super test).</t>
        </is>
      </c>
      <c r="M42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42" s="28" t="inlineStr">
        <is>
          <t>3.5|Sopra 2</t>
        </is>
      </c>
      <c r="O42" s="0" t="inlineStr">
        <is>
          <t>3.5|Sopra 2</t>
        </is>
      </c>
      <c r="P42" s="0" t="n">
        <v>3.5</v>
      </c>
      <c r="Q42" s="0" t="inlineStr">
        <is>
          <t>Consapevolezza alta (molto ben tarato)</t>
        </is>
      </c>
      <c r="R42" s="0" t="inlineStr">
        <is>
          <t>Consapevolezza alta (molto ben tarato) — Fai un passo in più: spiega a un compagno il criterio (insegnare = super test).</t>
        </is>
      </c>
      <c r="S42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43">
      <c r="A43" s="26" t="n">
        <v>42</v>
      </c>
      <c r="B43" s="27" t="n">
        <v>3.5</v>
      </c>
      <c r="C43" s="27" t="n">
        <v>35</v>
      </c>
      <c r="D43" s="27" t="n">
        <v>35</v>
      </c>
      <c r="E43" s="27" t="n">
        <v>105</v>
      </c>
      <c r="F43" s="27" t="n">
        <v>-25</v>
      </c>
      <c r="G43" s="26" t="inlineStr">
        <is>
          <t>Retta consapevolezza (y_max)</t>
        </is>
      </c>
      <c r="H43" s="27" t="n">
        <v>105</v>
      </c>
      <c r="I43" s="28" t="n">
        <v>0</v>
      </c>
      <c r="J43" s="28" t="n">
        <v>3.5</v>
      </c>
      <c r="K43" s="29" t="inlineStr">
        <is>
          <t>Consapevolezza eccellente</t>
        </is>
      </c>
      <c r="L43" s="29" t="inlineStr">
        <is>
          <t>Consapevolezza eccellente — Sfida extra: prova a individuare i casi limite e le eccezioni (rafforza il pensiero critico).</t>
        </is>
      </c>
      <c r="M43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43" s="28" t="inlineStr">
        <is>
          <t>3.5|Retta consapevolezza (y_max)</t>
        </is>
      </c>
      <c r="O43" s="0" t="inlineStr">
        <is>
          <t>3.5|Retta consapevolezza (y_max)</t>
        </is>
      </c>
      <c r="P43" s="0" t="n">
        <v>3.5</v>
      </c>
      <c r="Q43" s="0" t="inlineStr">
        <is>
          <t>Consapevolezza eccellente</t>
        </is>
      </c>
      <c r="R43" s="0" t="inlineStr">
        <is>
          <t>Consapevolezza eccellente — Sfida extra: prova a individuare i casi limite e le eccezioni (rafforza il pensiero critico).</t>
        </is>
      </c>
      <c r="S43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44">
      <c r="A44" s="26" t="n">
        <v>43</v>
      </c>
      <c r="B44" s="27" t="n">
        <v>4</v>
      </c>
      <c r="C44" s="27" t="n">
        <v>40</v>
      </c>
      <c r="D44" s="27" t="n">
        <v>40</v>
      </c>
      <c r="E44" s="27" t="n">
        <v>120</v>
      </c>
      <c r="F44" s="27" t="n">
        <v>-20</v>
      </c>
      <c r="G44" s="26" t="inlineStr">
        <is>
          <t>Molto sotto (y_low)</t>
        </is>
      </c>
      <c r="H44" s="27" t="n">
        <v>-20</v>
      </c>
      <c r="I44" s="28" t="n">
        <v>0</v>
      </c>
      <c r="J44" s="28" t="n">
        <v>4</v>
      </c>
      <c r="K44" s="29" t="inlineStr">
        <is>
          <t>Rischio misconcezioni / confidenza fuori bersaglio</t>
        </is>
      </c>
      <c r="L44" s="29" t="inlineStr">
        <is>
          <t>Rischio misconcezioni / confidenza fuori bersaglio — Scegli 3 risposte sbagliate e riscrivile con regola/criterio: se non trovi la regola, la prossima volta confidenza bassa.</t>
        </is>
      </c>
      <c r="M44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44" s="28" t="inlineStr">
        <is>
          <t>4.0|Molto sotto (y_low)</t>
        </is>
      </c>
      <c r="O44" s="0" t="inlineStr">
        <is>
          <t>4.0|Molto sotto (y_low)</t>
        </is>
      </c>
      <c r="P44" s="0" t="n">
        <v>4</v>
      </c>
      <c r="Q44" s="0" t="inlineStr">
        <is>
          <t>Rischio misconcezioni / confidenza fuori bersaglio</t>
        </is>
      </c>
      <c r="R44" s="0" t="inlineStr">
        <is>
          <t>Rischio misconcezioni / confidenza fuori bersaglio — Scegli 3 risposte sbagliate e riscrivile con regola/criterio: se non trovi la regola, la prossima volta confidenza bassa.</t>
        </is>
      </c>
      <c r="S44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45">
      <c r="A45" s="26" t="n">
        <v>44</v>
      </c>
      <c r="B45" s="27" t="n">
        <v>4</v>
      </c>
      <c r="C45" s="27" t="n">
        <v>40</v>
      </c>
      <c r="D45" s="27" t="n">
        <v>40</v>
      </c>
      <c r="E45" s="27" t="n">
        <v>120</v>
      </c>
      <c r="F45" s="27" t="n">
        <v>-20</v>
      </c>
      <c r="G45" s="26" t="inlineStr">
        <is>
          <t>Sotto 2</t>
        </is>
      </c>
      <c r="H45" s="27" t="n">
        <v>22</v>
      </c>
      <c r="I45" s="28" t="n">
        <v>0</v>
      </c>
      <c r="J45" s="28" t="n">
        <v>4</v>
      </c>
      <c r="K45" s="29" t="inlineStr">
        <is>
          <t>Inconsapevolezza marcata (calibrazione scarsa)</t>
        </is>
      </c>
      <c r="L45" s="29" t="inlineStr">
        <is>
          <t>Inconsapevolezza marcata (calibrazione scarsa) — Per ogni domanda: scrivi 1 riga di motivazione. Se non la sai scrivere, confidenza bassa senza vergogna.</t>
        </is>
      </c>
      <c r="M45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45" s="28" t="inlineStr">
        <is>
          <t>4.0|Sotto 2</t>
        </is>
      </c>
      <c r="O45" s="0" t="inlineStr">
        <is>
          <t>4.0|Sotto 2</t>
        </is>
      </c>
      <c r="P45" s="0" t="n">
        <v>4</v>
      </c>
      <c r="Q45" s="0" t="inlineStr">
        <is>
          <t>Inconsapevolezza marcata (calibrazione scarsa)</t>
        </is>
      </c>
      <c r="R45" s="0" t="inlineStr">
        <is>
          <t>Inconsapevolezza marcata (calibrazione scarsa) — Per ogni domanda: scrivi 1 riga di motivazione. Se non la sai scrivere, confidenza bassa senza vergogna.</t>
        </is>
      </c>
      <c r="S45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46">
      <c r="A46" s="26" t="n">
        <v>45</v>
      </c>
      <c r="B46" s="27" t="n">
        <v>4</v>
      </c>
      <c r="C46" s="27" t="n">
        <v>40</v>
      </c>
      <c r="D46" s="27" t="n">
        <v>40</v>
      </c>
      <c r="E46" s="27" t="n">
        <v>120</v>
      </c>
      <c r="F46" s="27" t="n">
        <v>-20</v>
      </c>
      <c r="G46" s="26" t="inlineStr">
        <is>
          <t>Sotto 1</t>
        </is>
      </c>
      <c r="H46" s="27" t="n">
        <v>31</v>
      </c>
      <c r="I46" s="28" t="n">
        <v>0</v>
      </c>
      <c r="J46" s="28" t="n">
        <v>4</v>
      </c>
      <c r="K46" s="29" t="inlineStr">
        <is>
          <t>Incertezza / calibrazione da migliorare</t>
        </is>
      </c>
      <c r="L46" s="29" t="inlineStr">
        <is>
          <t>Incertezza / calibrazione da migliorare — Allenati con un controllo: 'posso spiegare in 10 secondi perché?' Se sì alza, se no abbassa la confidenza.</t>
        </is>
      </c>
      <c r="M46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46" s="28" t="inlineStr">
        <is>
          <t>4.0|Sotto 1</t>
        </is>
      </c>
      <c r="O46" s="0" t="inlineStr">
        <is>
          <t>4.0|Sotto 1</t>
        </is>
      </c>
      <c r="P46" s="0" t="n">
        <v>4</v>
      </c>
      <c r="Q46" s="0" t="inlineStr">
        <is>
          <t>Incertezza / calibrazione da migliorare</t>
        </is>
      </c>
      <c r="R46" s="0" t="inlineStr">
        <is>
          <t>Incertezza / calibrazione da migliorare — Allenati con un controllo: 'posso spiegare in 10 secondi perché?' Se sì alza, se no abbassa la confidenza.</t>
        </is>
      </c>
      <c r="S46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47">
      <c r="A47" s="26" t="n">
        <v>46</v>
      </c>
      <c r="B47" s="27" t="n">
        <v>4</v>
      </c>
      <c r="C47" s="27" t="n">
        <v>40</v>
      </c>
      <c r="D47" s="27" t="n">
        <v>40</v>
      </c>
      <c r="E47" s="27" t="n">
        <v>120</v>
      </c>
      <c r="F47" s="27" t="n">
        <v>-20</v>
      </c>
      <c r="G47" s="26" t="inlineStr">
        <is>
          <t>Sulla spezzata (y_min)</t>
        </is>
      </c>
      <c r="H47" s="27" t="n">
        <v>40</v>
      </c>
      <c r="I47" s="28" t="n">
        <v>0</v>
      </c>
      <c r="J47" s="28" t="n">
        <v>4</v>
      </c>
      <c r="K47" s="29" t="inlineStr">
        <is>
          <t>Calibrazione minima OK</t>
        </is>
      </c>
      <c r="L47" s="29" t="inlineStr">
        <is>
          <t>Calibrazione minima OK — Obiettivo: aumentare la precisione delle motivazioni (non solo la risposta) per salire di livello.</t>
        </is>
      </c>
      <c r="M47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47" s="28" t="inlineStr">
        <is>
          <t>4.0|Sulla spezzata (y_min)</t>
        </is>
      </c>
      <c r="O47" s="0" t="inlineStr">
        <is>
          <t>4.0|Sulla spezzata (y_min)</t>
        </is>
      </c>
      <c r="P47" s="0" t="n">
        <v>4</v>
      </c>
      <c r="Q47" s="0" t="inlineStr">
        <is>
          <t>Calibrazione minima OK</t>
        </is>
      </c>
      <c r="R47" s="0" t="inlineStr">
        <is>
          <t>Calibrazione minima OK — Obiettivo: aumentare la precisione delle motivazioni (non solo la risposta) per salire di livello.</t>
        </is>
      </c>
      <c r="S47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48">
      <c r="A48" s="26" t="n">
        <v>47</v>
      </c>
      <c r="B48" s="27" t="n">
        <v>4</v>
      </c>
      <c r="C48" s="27" t="n">
        <v>40</v>
      </c>
      <c r="D48" s="27" t="n">
        <v>40</v>
      </c>
      <c r="E48" s="27" t="n">
        <v>120</v>
      </c>
      <c r="F48" s="27" t="n">
        <v>-20</v>
      </c>
      <c r="G48" s="26" t="inlineStr">
        <is>
          <t>Sopra 1</t>
        </is>
      </c>
      <c r="H48" s="27" t="n">
        <v>52</v>
      </c>
      <c r="I48" s="28" t="n">
        <v>0</v>
      </c>
      <c r="J48" s="28" t="n">
        <v>4</v>
      </c>
      <c r="K48" s="29" t="inlineStr">
        <is>
          <t>Buona calibrazione (sa e lo sa)</t>
        </is>
      </c>
      <c r="L48" s="29" t="inlineStr">
        <is>
          <t>Buona calibrazione (sa e lo sa) — Consolida: rivedi 2 errori e scrivi la 'regola d'oro' che li evita.</t>
        </is>
      </c>
      <c r="M48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48" s="28" t="inlineStr">
        <is>
          <t>4.0|Sopra 1</t>
        </is>
      </c>
      <c r="O48" s="0" t="inlineStr">
        <is>
          <t>4.0|Sopra 1</t>
        </is>
      </c>
      <c r="P48" s="0" t="n">
        <v>4</v>
      </c>
      <c r="Q48" s="0" t="inlineStr">
        <is>
          <t>Buona calibrazione (sa e lo sa)</t>
        </is>
      </c>
      <c r="R48" s="0" t="inlineStr">
        <is>
          <t>Buona calibrazione (sa e lo sa) — Consolida: rivedi 2 errori e scrivi la 'regola d'oro' che li evita.</t>
        </is>
      </c>
      <c r="S48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49">
      <c r="A49" s="26" t="n">
        <v>48</v>
      </c>
      <c r="B49" s="27" t="n">
        <v>4</v>
      </c>
      <c r="C49" s="27" t="n">
        <v>40</v>
      </c>
      <c r="D49" s="27" t="n">
        <v>40</v>
      </c>
      <c r="E49" s="27" t="n">
        <v>120</v>
      </c>
      <c r="F49" s="27" t="n">
        <v>-20</v>
      </c>
      <c r="G49" s="26" t="inlineStr">
        <is>
          <t>Sopra 2</t>
        </is>
      </c>
      <c r="H49" s="27" t="n">
        <v>64</v>
      </c>
      <c r="I49" s="28" t="n">
        <v>0</v>
      </c>
      <c r="J49" s="28" t="n">
        <v>4</v>
      </c>
      <c r="K49" s="29" t="inlineStr">
        <is>
          <t>Consapevolezza alta (molto ben tarato)</t>
        </is>
      </c>
      <c r="L49" s="29" t="inlineStr">
        <is>
          <t>Consapevolezza alta (molto ben tarato) — Fai un passo in più: spiega a un compagno il criterio (insegnare = super test).</t>
        </is>
      </c>
      <c r="M49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49" s="28" t="inlineStr">
        <is>
          <t>4.0|Sopra 2</t>
        </is>
      </c>
      <c r="O49" s="0" t="inlineStr">
        <is>
          <t>4.0|Sopra 2</t>
        </is>
      </c>
      <c r="P49" s="0" t="n">
        <v>4</v>
      </c>
      <c r="Q49" s="0" t="inlineStr">
        <is>
          <t>Consapevolezza alta (molto ben tarato)</t>
        </is>
      </c>
      <c r="R49" s="0" t="inlineStr">
        <is>
          <t>Consapevolezza alta (molto ben tarato) — Fai un passo in più: spiega a un compagno il criterio (insegnare = super test).</t>
        </is>
      </c>
      <c r="S49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50">
      <c r="A50" s="26" t="n">
        <v>49</v>
      </c>
      <c r="B50" s="27" t="n">
        <v>4</v>
      </c>
      <c r="C50" s="27" t="n">
        <v>40</v>
      </c>
      <c r="D50" s="27" t="n">
        <v>40</v>
      </c>
      <c r="E50" s="27" t="n">
        <v>120</v>
      </c>
      <c r="F50" s="27" t="n">
        <v>-20</v>
      </c>
      <c r="G50" s="26" t="inlineStr">
        <is>
          <t>Retta consapevolezza (y_max)</t>
        </is>
      </c>
      <c r="H50" s="27" t="n">
        <v>120</v>
      </c>
      <c r="I50" s="28" t="n">
        <v>0</v>
      </c>
      <c r="J50" s="28" t="n">
        <v>4</v>
      </c>
      <c r="K50" s="29" t="inlineStr">
        <is>
          <t>Consapevolezza eccellente</t>
        </is>
      </c>
      <c r="L50" s="29" t="inlineStr">
        <is>
          <t>Consapevolezza eccellente — Sfida extra: prova a individuare i casi limite e le eccezioni (rafforza il pensiero critico).</t>
        </is>
      </c>
      <c r="M50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50" s="28" t="inlineStr">
        <is>
          <t>4.0|Retta consapevolezza (y_max)</t>
        </is>
      </c>
      <c r="O50" s="0" t="inlineStr">
        <is>
          <t>4.0|Retta consapevolezza (y_max)</t>
        </is>
      </c>
      <c r="P50" s="0" t="n">
        <v>4</v>
      </c>
      <c r="Q50" s="0" t="inlineStr">
        <is>
          <t>Consapevolezza eccellente</t>
        </is>
      </c>
      <c r="R50" s="0" t="inlineStr">
        <is>
          <t>Consapevolezza eccellente — Sfida extra: prova a individuare i casi limite e le eccezioni (rafforza il pensiero critico).</t>
        </is>
      </c>
      <c r="S50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51">
      <c r="A51" s="26" t="n">
        <v>50</v>
      </c>
      <c r="B51" s="27" t="n">
        <v>4.5</v>
      </c>
      <c r="C51" s="27" t="n">
        <v>45</v>
      </c>
      <c r="D51" s="27" t="n">
        <v>45</v>
      </c>
      <c r="E51" s="27" t="n">
        <v>135</v>
      </c>
      <c r="F51" s="27" t="n">
        <v>-15</v>
      </c>
      <c r="G51" s="26" t="inlineStr">
        <is>
          <t>Molto sotto (y_low)</t>
        </is>
      </c>
      <c r="H51" s="27" t="n">
        <v>-15</v>
      </c>
      <c r="I51" s="28" t="n">
        <v>0</v>
      </c>
      <c r="J51" s="28" t="n">
        <v>4.5</v>
      </c>
      <c r="K51" s="29" t="inlineStr">
        <is>
          <t>Rischio misconcezioni / confidenza fuori bersaglio</t>
        </is>
      </c>
      <c r="L51" s="29" t="inlineStr">
        <is>
          <t>Rischio misconcezioni / confidenza fuori bersaglio — Scegli 3 risposte sbagliate e riscrivile con regola/criterio: se non trovi la regola, la prossima volta confidenza bassa.</t>
        </is>
      </c>
      <c r="M51" s="29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51" s="28" t="inlineStr">
        <is>
          <t>4.5|Molto sotto (y_low)</t>
        </is>
      </c>
      <c r="O51" s="0" t="inlineStr">
        <is>
          <t>4.5|Molto sotto (y_low)</t>
        </is>
      </c>
      <c r="P51" s="0" t="n">
        <v>4.5</v>
      </c>
      <c r="Q51" s="0" t="inlineStr">
        <is>
          <t>Rischio misconcezioni / confidenza fuori bersaglio</t>
        </is>
      </c>
      <c r="R51" s="0" t="inlineStr">
        <is>
          <t>Rischio misconcezioni / confidenza fuori bersaglio — Scegli 3 risposte sbagliate e riscrivile con regola/criterio: se non trovi la regola, la prossima volta confidenza bassa.</t>
        </is>
      </c>
      <c r="S51" s="0" t="inlineStr">
        <is>
          <t>Le basi sono ancora in costruzione: prima di tutto consolidiamo i concetti.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52">
      <c r="A52" s="26" t="n">
        <v>51</v>
      </c>
      <c r="B52" s="27" t="n">
        <v>4.5</v>
      </c>
      <c r="C52" s="27" t="n">
        <v>45</v>
      </c>
      <c r="D52" s="27" t="n">
        <v>45</v>
      </c>
      <c r="E52" s="27" t="n">
        <v>135</v>
      </c>
      <c r="F52" s="27" t="n">
        <v>-15</v>
      </c>
      <c r="G52" s="26" t="inlineStr">
        <is>
          <t>Sotto 2</t>
        </is>
      </c>
      <c r="H52" s="27" t="n">
        <v>27</v>
      </c>
      <c r="I52" s="28" t="n">
        <v>0</v>
      </c>
      <c r="J52" s="28" t="n">
        <v>4.5</v>
      </c>
      <c r="K52" s="29" t="inlineStr">
        <is>
          <t>Inconsapevolezza marcata (calibrazione scarsa)</t>
        </is>
      </c>
      <c r="L52" s="29" t="inlineStr">
        <is>
          <t>Inconsapevolezza marcata (calibrazione scarsa) — Per ogni domanda: scrivi 1 riga di motivazione. Se non la sai scrivere, confidenza bassa senza vergogna.</t>
        </is>
      </c>
      <c r="M52" s="29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  <c r="N52" s="28" t="inlineStr">
        <is>
          <t>4.5|Sotto 2</t>
        </is>
      </c>
      <c r="O52" s="0" t="inlineStr">
        <is>
          <t>4.5|Sotto 2</t>
        </is>
      </c>
      <c r="P52" s="0" t="n">
        <v>4.5</v>
      </c>
      <c r="Q52" s="0" t="inlineStr">
        <is>
          <t>Inconsapevolezza marcata (calibrazione scarsa)</t>
        </is>
      </c>
      <c r="R52" s="0" t="inlineStr">
        <is>
          <t>Inconsapevolezza marcata (calibrazione scarsa) — Per ogni domanda: scrivi 1 riga di motivazione. Se non la sai scrivere, confidenza bassa senza vergogna.</t>
        </is>
      </c>
      <c r="S52" s="0" t="inlineStr">
        <is>
          <t>Le basi sono ancora in costruzione: prima di tutto consolidiamo i concetti.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53">
      <c r="A53" s="26" t="n">
        <v>52</v>
      </c>
      <c r="B53" s="27" t="n">
        <v>4.5</v>
      </c>
      <c r="C53" s="27" t="n">
        <v>45</v>
      </c>
      <c r="D53" s="27" t="n">
        <v>45</v>
      </c>
      <c r="E53" s="27" t="n">
        <v>135</v>
      </c>
      <c r="F53" s="27" t="n">
        <v>-15</v>
      </c>
      <c r="G53" s="26" t="inlineStr">
        <is>
          <t>Sotto 1</t>
        </is>
      </c>
      <c r="H53" s="27" t="n">
        <v>36</v>
      </c>
      <c r="I53" s="28" t="n">
        <v>0</v>
      </c>
      <c r="J53" s="28" t="n">
        <v>4.5</v>
      </c>
      <c r="K53" s="29" t="inlineStr">
        <is>
          <t>Incertezza / calibrazione da migliorare</t>
        </is>
      </c>
      <c r="L53" s="29" t="inlineStr">
        <is>
          <t>Incertezza / calibrazione da migliorare — Allenati con un controllo: 'posso spiegare in 10 secondi perché?' Se sì alza, se no abbassa la confidenza.</t>
        </is>
      </c>
      <c r="M53" s="29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  <c r="N53" s="28" t="inlineStr">
        <is>
          <t>4.5|Sotto 1</t>
        </is>
      </c>
      <c r="O53" s="0" t="inlineStr">
        <is>
          <t>4.5|Sotto 1</t>
        </is>
      </c>
      <c r="P53" s="0" t="n">
        <v>4.5</v>
      </c>
      <c r="Q53" s="0" t="inlineStr">
        <is>
          <t>Incertezza / calibrazione da migliorare</t>
        </is>
      </c>
      <c r="R53" s="0" t="inlineStr">
        <is>
          <t>Incertezza / calibrazione da migliorare — Allenati con un controllo: 'posso spiegare in 10 secondi perché?' Se sì alza, se no abbassa la confidenza.</t>
        </is>
      </c>
      <c r="S53" s="0" t="inlineStr">
        <is>
          <t>Le basi sono ancora in costruzione: prima di tutto consolidiamo i concetti. Sei vicino alla calibrazione, ma c'è ancora rumore: a volte ti fidi troppo o troppo poco. Consiglio pratico: Allenati con un controllo: 'posso spiegare in 10 secondi perché?' Se sì alza, se no abbassa la confidenza.</t>
        </is>
      </c>
    </row>
    <row r="54">
      <c r="A54" s="26" t="n">
        <v>53</v>
      </c>
      <c r="B54" s="27" t="n">
        <v>4.5</v>
      </c>
      <c r="C54" s="27" t="n">
        <v>45</v>
      </c>
      <c r="D54" s="27" t="n">
        <v>45</v>
      </c>
      <c r="E54" s="27" t="n">
        <v>135</v>
      </c>
      <c r="F54" s="27" t="n">
        <v>-15</v>
      </c>
      <c r="G54" s="26" t="inlineStr">
        <is>
          <t>Sulla spezzata (y_min)</t>
        </is>
      </c>
      <c r="H54" s="27" t="n">
        <v>45</v>
      </c>
      <c r="I54" s="28" t="n">
        <v>0</v>
      </c>
      <c r="J54" s="28" t="n">
        <v>4.5</v>
      </c>
      <c r="K54" s="29" t="inlineStr">
        <is>
          <t>Calibrazione minima OK</t>
        </is>
      </c>
      <c r="L54" s="29" t="inlineStr">
        <is>
          <t>Calibrazione minima OK — Obiettivo: aumentare la precisione delle motivazioni (non solo la risposta) per salire di livello.</t>
        </is>
      </c>
      <c r="M54" s="29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  <c r="N54" s="28" t="inlineStr">
        <is>
          <t>4.5|Sulla spezzata (y_min)</t>
        </is>
      </c>
      <c r="O54" s="0" t="inlineStr">
        <is>
          <t>4.5|Sulla spezzata (y_min)</t>
        </is>
      </c>
      <c r="P54" s="0" t="n">
        <v>4.5</v>
      </c>
      <c r="Q54" s="0" t="inlineStr">
        <is>
          <t>Calibrazione minima OK</t>
        </is>
      </c>
      <c r="R54" s="0" t="inlineStr">
        <is>
          <t>Calibrazione minima OK — Obiettivo: aumentare la precisione delle motivazioni (non solo la risposta) per salire di livello.</t>
        </is>
      </c>
      <c r="S54" s="0" t="inlineStr">
        <is>
          <t>Le basi sono ancora in costruzione: prima di tutto consolidiamo i concetti. Sei sul livello minimo di coerenza: la confidenza è generalmente ragionevole. Consiglio pratico: Obiettivo: aumentare la precisione delle motivazioni (non solo la risposta) per salire di livello.</t>
        </is>
      </c>
    </row>
    <row r="55">
      <c r="A55" s="26" t="n">
        <v>54</v>
      </c>
      <c r="B55" s="27" t="n">
        <v>4.5</v>
      </c>
      <c r="C55" s="27" t="n">
        <v>45</v>
      </c>
      <c r="D55" s="27" t="n">
        <v>45</v>
      </c>
      <c r="E55" s="27" t="n">
        <v>135</v>
      </c>
      <c r="F55" s="27" t="n">
        <v>-15</v>
      </c>
      <c r="G55" s="26" t="inlineStr">
        <is>
          <t>Sopra 1</t>
        </is>
      </c>
      <c r="H55" s="27" t="n">
        <v>58.5</v>
      </c>
      <c r="I55" s="28" t="n">
        <v>0</v>
      </c>
      <c r="J55" s="28" t="n">
        <v>4.5</v>
      </c>
      <c r="K55" s="29" t="inlineStr">
        <is>
          <t>Buona calibrazione (sa e lo sa)</t>
        </is>
      </c>
      <c r="L55" s="29" t="inlineStr">
        <is>
          <t>Buona calibrazione (sa e lo sa) — Consolida: rivedi 2 errori e scrivi la 'regola d'oro' che li evita.</t>
        </is>
      </c>
      <c r="M55" s="29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  <c r="N55" s="28" t="inlineStr">
        <is>
          <t>4.5|Sopra 1</t>
        </is>
      </c>
      <c r="O55" s="0" t="inlineStr">
        <is>
          <t>4.5|Sopra 1</t>
        </is>
      </c>
      <c r="P55" s="0" t="n">
        <v>4.5</v>
      </c>
      <c r="Q55" s="0" t="inlineStr">
        <is>
          <t>Buona calibrazione (sa e lo sa)</t>
        </is>
      </c>
      <c r="R55" s="0" t="inlineStr">
        <is>
          <t>Buona calibrazione (sa e lo sa) — Consolida: rivedi 2 errori e scrivi la 'regola d'oro' che li evita.</t>
        </is>
      </c>
      <c r="S55" s="0" t="inlineStr">
        <is>
          <t>Le basi sono ancora in costruzione: prima di tutto consolidiamo i concetti. Buona corrispondenza tra ciò che sai e quanto ti fidi: la tua consapevolezza aiuta a studiare meglio. Consiglio pratico: Consolida: rivedi 2 errori e scrivi la 'regola d'oro' che li evita.</t>
        </is>
      </c>
    </row>
    <row r="56">
      <c r="A56" s="26" t="n">
        <v>55</v>
      </c>
      <c r="B56" s="27" t="n">
        <v>4.5</v>
      </c>
      <c r="C56" s="27" t="n">
        <v>45</v>
      </c>
      <c r="D56" s="27" t="n">
        <v>45</v>
      </c>
      <c r="E56" s="27" t="n">
        <v>135</v>
      </c>
      <c r="F56" s="27" t="n">
        <v>-15</v>
      </c>
      <c r="G56" s="26" t="inlineStr">
        <is>
          <t>Sopra 2</t>
        </is>
      </c>
      <c r="H56" s="27" t="n">
        <v>72</v>
      </c>
      <c r="I56" s="28" t="n">
        <v>0</v>
      </c>
      <c r="J56" s="28" t="n">
        <v>4.5</v>
      </c>
      <c r="K56" s="29" t="inlineStr">
        <is>
          <t>Consapevolezza alta (molto ben tarato)</t>
        </is>
      </c>
      <c r="L56" s="29" t="inlineStr">
        <is>
          <t>Consapevolezza alta (molto ben tarato) — Fai un passo in più: spiega a un compagno il criterio (insegnare = super test).</t>
        </is>
      </c>
      <c r="M56" s="29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  <c r="N56" s="28" t="inlineStr">
        <is>
          <t>4.5|Sopra 2</t>
        </is>
      </c>
      <c r="O56" s="0" t="inlineStr">
        <is>
          <t>4.5|Sopra 2</t>
        </is>
      </c>
      <c r="P56" s="0" t="n">
        <v>4.5</v>
      </c>
      <c r="Q56" s="0" t="inlineStr">
        <is>
          <t>Consapevolezza alta (molto ben tarato)</t>
        </is>
      </c>
      <c r="R56" s="0" t="inlineStr">
        <is>
          <t>Consapevolezza alta (molto ben tarato) — Fai un passo in più: spiega a un compagno il criterio (insegnare = super test).</t>
        </is>
      </c>
      <c r="S56" s="0" t="inlineStr">
        <is>
          <t>Le basi sono ancora in costruzione: prima di tutto consolidiamo i concetti. Ottima taratura: quando sei sicuro, di solito sei anche corretto. Consiglio pratico: Fai un passo in più: spiega a un compagno il criterio (insegnare = super test).</t>
        </is>
      </c>
    </row>
    <row r="57">
      <c r="A57" s="26" t="n">
        <v>56</v>
      </c>
      <c r="B57" s="27" t="n">
        <v>4.5</v>
      </c>
      <c r="C57" s="27" t="n">
        <v>45</v>
      </c>
      <c r="D57" s="27" t="n">
        <v>45</v>
      </c>
      <c r="E57" s="27" t="n">
        <v>135</v>
      </c>
      <c r="F57" s="27" t="n">
        <v>-15</v>
      </c>
      <c r="G57" s="26" t="inlineStr">
        <is>
          <t>Retta consapevolezza (y_max)</t>
        </is>
      </c>
      <c r="H57" s="27" t="n">
        <v>135</v>
      </c>
      <c r="I57" s="28" t="n">
        <v>0</v>
      </c>
      <c r="J57" s="28" t="n">
        <v>4.5</v>
      </c>
      <c r="K57" s="29" t="inlineStr">
        <is>
          <t>Consapevolezza eccellente</t>
        </is>
      </c>
      <c r="L57" s="29" t="inlineStr">
        <is>
          <t>Consapevolezza eccellente — Sfida extra: prova a individuare i casi limite e le eccezioni (rafforza il pensiero critico).</t>
        </is>
      </c>
      <c r="M57" s="29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  <c r="N57" s="28" t="inlineStr">
        <is>
          <t>4.5|Retta consapevolezza (y_max)</t>
        </is>
      </c>
      <c r="O57" s="0" t="inlineStr">
        <is>
          <t>4.5|Retta consapevolezza (y_max)</t>
        </is>
      </c>
      <c r="P57" s="0" t="n">
        <v>4.5</v>
      </c>
      <c r="Q57" s="0" t="inlineStr">
        <is>
          <t>Consapevolezza eccellente</t>
        </is>
      </c>
      <c r="R57" s="0" t="inlineStr">
        <is>
          <t>Consapevolezza eccellente — Sfida extra: prova a individuare i casi limite e le eccezioni (rafforza il pensiero critico).</t>
        </is>
      </c>
      <c r="S57" s="0" t="inlineStr">
        <is>
          <t>Le basi sono ancora in costruzione: prima di tutto consolidiamo i concetti. Prestazione e consapevolezza vanno insieme: sei molto affidabile nelle tue scelte. Consiglio pratico: Sfida extra: prova a individuare i casi limite e le eccezioni (rafforza il pensiero critico).</t>
        </is>
      </c>
    </row>
    <row r="58">
      <c r="A58" s="26" t="n">
        <v>57</v>
      </c>
      <c r="B58" s="27" t="n">
        <v>5</v>
      </c>
      <c r="C58" s="27" t="n">
        <v>50</v>
      </c>
      <c r="D58" s="27" t="n">
        <v>50</v>
      </c>
      <c r="E58" s="27" t="n">
        <v>150</v>
      </c>
      <c r="F58" s="27" t="n">
        <v>-10</v>
      </c>
      <c r="G58" s="26" t="inlineStr">
        <is>
          <t>Molto sotto (y_low)</t>
        </is>
      </c>
      <c r="H58" s="27" t="n">
        <v>-10</v>
      </c>
      <c r="I58" s="28" t="n">
        <v>-2</v>
      </c>
      <c r="J58" s="28" t="n">
        <v>3</v>
      </c>
      <c r="K58" s="29" t="inlineStr">
        <is>
          <t>Rischio misconcezioni / confidenza fuori bersaglio</t>
        </is>
      </c>
      <c r="L58" s="29" t="inlineStr">
        <is>
          <t>Rischio misconcezioni / confidenza fuori bersaglio — Scegli 3 risposte sbagliate e riscrivile con regola/criterio: se non trovi la regola, la prossima volta confidenza bassa.</t>
        </is>
      </c>
      <c r="M58" s="29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58" s="28" t="inlineStr">
        <is>
          <t>5.0|Molto sotto (y_low)</t>
        </is>
      </c>
      <c r="O58" s="0" t="inlineStr">
        <is>
          <t>5.0|Molto sotto (y_low)</t>
        </is>
      </c>
      <c r="P58" s="0" t="n">
        <v>3</v>
      </c>
      <c r="Q58" s="0" t="inlineStr">
        <is>
          <t>Rischio misconcezioni / confidenza fuori bersaglio</t>
        </is>
      </c>
      <c r="R58" s="0" t="inlineStr">
        <is>
          <t>Rischio misconcezioni / confidenza fuori bersaglio — Scegli 3 risposte sbagliate e riscrivile con regola/criterio: se non trovi la regola, la prossima volta confidenza bassa.</t>
        </is>
      </c>
      <c r="S58" s="0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59">
      <c r="A59" s="26" t="n">
        <v>58</v>
      </c>
      <c r="B59" s="27" t="n">
        <v>5</v>
      </c>
      <c r="C59" s="27" t="n">
        <v>50</v>
      </c>
      <c r="D59" s="27" t="n">
        <v>50</v>
      </c>
      <c r="E59" s="27" t="n">
        <v>150</v>
      </c>
      <c r="F59" s="27" t="n">
        <v>-10</v>
      </c>
      <c r="G59" s="26" t="inlineStr">
        <is>
          <t>Sotto 2</t>
        </is>
      </c>
      <c r="H59" s="27" t="n">
        <v>32</v>
      </c>
      <c r="I59" s="28" t="n">
        <v>-0.95</v>
      </c>
      <c r="J59" s="28" t="n">
        <v>4.05</v>
      </c>
      <c r="K59" s="29" t="inlineStr">
        <is>
          <t>Inconsapevolezza marcata (calibrazione scarsa)</t>
        </is>
      </c>
      <c r="L59" s="29" t="inlineStr">
        <is>
          <t>Inconsapevolezza marcata (calibrazione scarsa) — Per ogni domanda: scrivi 1 riga di motivazione. Se non la sai scrivere, confidenza bassa senza vergogna.</t>
        </is>
      </c>
      <c r="M59" s="29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  <c r="N59" s="28" t="inlineStr">
        <is>
          <t>5.0|Sotto 2</t>
        </is>
      </c>
      <c r="O59" s="0" t="inlineStr">
        <is>
          <t>5.0|Sotto 2</t>
        </is>
      </c>
      <c r="P59" s="0" t="n">
        <v>4.05</v>
      </c>
      <c r="Q59" s="0" t="inlineStr">
        <is>
          <t>Inconsapevolezza marcata (calibrazione scarsa)</t>
        </is>
      </c>
      <c r="R59" s="0" t="inlineStr">
        <is>
          <t>Inconsapevolezza marcata (calibrazione scarsa) — Per ogni domanda: scrivi 1 riga di motivazione. Se non la sai scrivere, confidenza bassa senza vergogna.</t>
        </is>
      </c>
      <c r="S59" s="0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60">
      <c r="A60" s="26" t="n">
        <v>59</v>
      </c>
      <c r="B60" s="27" t="n">
        <v>5</v>
      </c>
      <c r="C60" s="27" t="n">
        <v>50</v>
      </c>
      <c r="D60" s="27" t="n">
        <v>50</v>
      </c>
      <c r="E60" s="27" t="n">
        <v>150</v>
      </c>
      <c r="F60" s="27" t="n">
        <v>-10</v>
      </c>
      <c r="G60" s="26" t="inlineStr">
        <is>
          <t>Sotto 1</t>
        </is>
      </c>
      <c r="H60" s="27" t="n">
        <v>41</v>
      </c>
      <c r="I60" s="28" t="n">
        <v>-0.725</v>
      </c>
      <c r="J60" s="28" t="n">
        <v>4.275</v>
      </c>
      <c r="K60" s="29" t="inlineStr">
        <is>
          <t>Incertezza / calibrazione da migliorare</t>
        </is>
      </c>
      <c r="L60" s="29" t="inlineStr">
        <is>
          <t>Incertezza / calibrazione da migliorare — Allenati con un controllo: 'posso spiegare in 10 secondi perché?' Se sì alza, se no abbassa la confidenza.</t>
        </is>
      </c>
      <c r="M60" s="29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  <c r="N60" s="28" t="inlineStr">
        <is>
          <t>5.0|Sotto 1</t>
        </is>
      </c>
      <c r="O60" s="0" t="inlineStr">
        <is>
          <t>5.0|Sotto 1</t>
        </is>
      </c>
      <c r="P60" s="0" t="n">
        <v>4.275</v>
      </c>
      <c r="Q60" s="0" t="inlineStr">
        <is>
          <t>Incertezza / calibrazione da migliorare</t>
        </is>
      </c>
      <c r="R60" s="0" t="inlineStr">
        <is>
          <t>Incertezza / calibrazione da migliorare — Allenati con un controllo: 'posso spiegare in 10 secondi perché?' Se sì alza, se no abbassa la confidenza.</t>
        </is>
      </c>
      <c r="S60" s="0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</row>
    <row r="61">
      <c r="A61" s="26" t="n">
        <v>60</v>
      </c>
      <c r="B61" s="27" t="n">
        <v>5</v>
      </c>
      <c r="C61" s="27" t="n">
        <v>50</v>
      </c>
      <c r="D61" s="27" t="n">
        <v>50</v>
      </c>
      <c r="E61" s="27" t="n">
        <v>150</v>
      </c>
      <c r="F61" s="27" t="n">
        <v>-10</v>
      </c>
      <c r="G61" s="26" t="inlineStr">
        <is>
          <t>Sulla spezzata (y_min)</t>
        </is>
      </c>
      <c r="H61" s="27" t="n">
        <v>50</v>
      </c>
      <c r="I61" s="28" t="n">
        <v>-0.5</v>
      </c>
      <c r="J61" s="28" t="n">
        <v>4.5</v>
      </c>
      <c r="K61" s="29" t="inlineStr">
        <is>
          <t>Calibrazione minima OK</t>
        </is>
      </c>
      <c r="L61" s="29" t="inlineStr">
        <is>
          <t>Calibrazione minima OK — Obiettivo: aumentare la precisione delle motivazioni (non solo la risposta) per salire di livello.</t>
        </is>
      </c>
      <c r="M61" s="29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  <c r="N61" s="28" t="inlineStr">
        <is>
          <t>5.0|Sulla spezzata (y_min)</t>
        </is>
      </c>
      <c r="O61" s="0" t="inlineStr">
        <is>
          <t>5.0|Sulla spezzata (y_min)</t>
        </is>
      </c>
      <c r="P61" s="0" t="n">
        <v>4.5</v>
      </c>
      <c r="Q61" s="0" t="inlineStr">
        <is>
          <t>Calibrazione minima OK</t>
        </is>
      </c>
      <c r="R61" s="0" t="inlineStr">
        <is>
          <t>Calibrazione minima OK — Obiettivo: aumentare la precisione delle motivazioni (non solo la risposta) per salire di livello.</t>
        </is>
      </c>
      <c r="S61" s="0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</row>
    <row r="62">
      <c r="A62" s="26" t="n">
        <v>61</v>
      </c>
      <c r="B62" s="27" t="n">
        <v>5</v>
      </c>
      <c r="C62" s="27" t="n">
        <v>50</v>
      </c>
      <c r="D62" s="27" t="n">
        <v>50</v>
      </c>
      <c r="E62" s="27" t="n">
        <v>150</v>
      </c>
      <c r="F62" s="27" t="n">
        <v>-10</v>
      </c>
      <c r="G62" s="26" t="inlineStr">
        <is>
          <t>Sopra 1</t>
        </is>
      </c>
      <c r="H62" s="27" t="n">
        <v>65</v>
      </c>
      <c r="I62" s="28" t="n">
        <v>0.02500000000000002</v>
      </c>
      <c r="J62" s="28" t="n">
        <v>5.025</v>
      </c>
      <c r="K62" s="29" t="inlineStr">
        <is>
          <t>Buona calibrazione (sa e lo sa)</t>
        </is>
      </c>
      <c r="L62" s="29" t="inlineStr">
        <is>
          <t>Buona calibrazione (sa e lo sa) — Consolida: rivedi 2 errori e scrivi la 'regola d'oro' che li evita.</t>
        </is>
      </c>
      <c r="M62" s="29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  <c r="N62" s="28" t="inlineStr">
        <is>
          <t>5.0|Sopra 1</t>
        </is>
      </c>
      <c r="O62" s="0" t="inlineStr">
        <is>
          <t>5.0|Sopra 1</t>
        </is>
      </c>
      <c r="P62" s="0" t="n">
        <v>5.025</v>
      </c>
      <c r="Q62" s="0" t="inlineStr">
        <is>
          <t>Buona calibrazione (sa e lo sa)</t>
        </is>
      </c>
      <c r="R62" s="0" t="inlineStr">
        <is>
          <t>Buona calibrazione (sa e lo sa) — Consolida: rivedi 2 errori e scrivi la 'regola d'oro' che li evita.</t>
        </is>
      </c>
      <c r="S62" s="0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</row>
    <row r="63">
      <c r="A63" s="26" t="n">
        <v>62</v>
      </c>
      <c r="B63" s="27" t="n">
        <v>5</v>
      </c>
      <c r="C63" s="27" t="n">
        <v>50</v>
      </c>
      <c r="D63" s="27" t="n">
        <v>50</v>
      </c>
      <c r="E63" s="27" t="n">
        <v>150</v>
      </c>
      <c r="F63" s="27" t="n">
        <v>-10</v>
      </c>
      <c r="G63" s="26" t="inlineStr">
        <is>
          <t>Sopra 2</t>
        </is>
      </c>
      <c r="H63" s="27" t="n">
        <v>80</v>
      </c>
      <c r="I63" s="28" t="n">
        <v>0.55</v>
      </c>
      <c r="J63" s="28" t="n">
        <v>5.55</v>
      </c>
      <c r="K63" s="29" t="inlineStr">
        <is>
          <t>Consapevolezza alta (molto ben tarato)</t>
        </is>
      </c>
      <c r="L63" s="29" t="inlineStr">
        <is>
          <t>Consapevolezza alta (molto ben tarato) — Fai un passo in più: spiega a un compagno il criterio (insegnare = super test).</t>
        </is>
      </c>
      <c r="M63" s="29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  <c r="N63" s="28" t="inlineStr">
        <is>
          <t>5.0|Sopra 2</t>
        </is>
      </c>
      <c r="O63" s="0" t="inlineStr">
        <is>
          <t>5.0|Sopra 2</t>
        </is>
      </c>
      <c r="P63" s="0" t="n">
        <v>5.55</v>
      </c>
      <c r="Q63" s="0" t="inlineStr">
        <is>
          <t>Consapevolezza alta (molto ben tarato)</t>
        </is>
      </c>
      <c r="R63" s="0" t="inlineStr">
        <is>
          <t>Consapevolezza alta (molto ben tarato) — Fai un passo in più: spiega a un compagno il criterio (insegnare = super test).</t>
        </is>
      </c>
      <c r="S63" s="0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</row>
    <row r="64">
      <c r="A64" s="26" t="n">
        <v>63</v>
      </c>
      <c r="B64" s="27" t="n">
        <v>5</v>
      </c>
      <c r="C64" s="27" t="n">
        <v>50</v>
      </c>
      <c r="D64" s="27" t="n">
        <v>50</v>
      </c>
      <c r="E64" s="27" t="n">
        <v>150</v>
      </c>
      <c r="F64" s="27" t="n">
        <v>-10</v>
      </c>
      <c r="G64" s="26" t="inlineStr">
        <is>
          <t>Retta consapevolezza (y_max)</t>
        </is>
      </c>
      <c r="H64" s="27" t="n">
        <v>150</v>
      </c>
      <c r="I64" s="28" t="n">
        <v>3</v>
      </c>
      <c r="J64" s="28" t="n">
        <v>8</v>
      </c>
      <c r="K64" s="29" t="inlineStr">
        <is>
          <t>Consapevolezza eccellente</t>
        </is>
      </c>
      <c r="L64" s="29" t="inlineStr">
        <is>
          <t>Consapevolezza eccellente — Sfida extra: prova a individuare i casi limite e le eccezioni (rafforza il pensiero critico).</t>
        </is>
      </c>
      <c r="M64" s="29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  <c r="N64" s="28" t="inlineStr">
        <is>
          <t>5.0|Retta consapevolezza (y_max)</t>
        </is>
      </c>
      <c r="O64" s="0" t="inlineStr">
        <is>
          <t>5.0|Retta consapevolezza (y_max)</t>
        </is>
      </c>
      <c r="P64" s="0" t="n">
        <v>8</v>
      </c>
      <c r="Q64" s="0" t="inlineStr">
        <is>
          <t>Consapevolezza eccellente</t>
        </is>
      </c>
      <c r="R64" s="0" t="inlineStr">
        <is>
          <t>Consapevolezza eccellente — Sfida extra: prova a individuare i casi limite e le eccezioni (rafforza il pensiero critico).</t>
        </is>
      </c>
      <c r="S64" s="0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</row>
    <row r="65">
      <c r="A65" s="26" t="n">
        <v>64</v>
      </c>
      <c r="B65" s="27" t="n">
        <v>5.5</v>
      </c>
      <c r="C65" s="27" t="n">
        <v>55</v>
      </c>
      <c r="D65" s="27" t="n">
        <v>55</v>
      </c>
      <c r="E65" s="27" t="n">
        <v>165</v>
      </c>
      <c r="F65" s="27" t="n">
        <v>-5</v>
      </c>
      <c r="G65" s="26" t="inlineStr">
        <is>
          <t>Molto sotto (y_low)</t>
        </is>
      </c>
      <c r="H65" s="27" t="n">
        <v>-5</v>
      </c>
      <c r="I65" s="28" t="n">
        <v>-2</v>
      </c>
      <c r="J65" s="28" t="n">
        <v>3.5</v>
      </c>
      <c r="K65" s="29" t="inlineStr">
        <is>
          <t>Rischio misconcezioni / confidenza fuori bersaglio</t>
        </is>
      </c>
      <c r="L65" s="29" t="inlineStr">
        <is>
          <t>Rischio misconcezioni / confidenza fuori bersaglio — Scegli 3 risposte sbagliate e riscrivile con regola/criterio: se non trovi la regola, la prossima volta confidenza bassa.</t>
        </is>
      </c>
      <c r="M65" s="29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65" s="28" t="inlineStr">
        <is>
          <t>5.5|Molto sotto (y_low)</t>
        </is>
      </c>
      <c r="O65" s="0" t="inlineStr">
        <is>
          <t>5.5|Molto sotto (y_low)</t>
        </is>
      </c>
      <c r="P65" s="0" t="n">
        <v>3.5</v>
      </c>
      <c r="Q65" s="0" t="inlineStr">
        <is>
          <t>Rischio misconcezioni / confidenza fuori bersaglio</t>
        </is>
      </c>
      <c r="R65" s="0" t="inlineStr">
        <is>
          <t>Rischio misconcezioni / confidenza fuori bersaglio — Scegli 3 risposte sbagliate e riscrivile con regola/criterio: se non trovi la regola, la prossima volta confidenza bassa.</t>
        </is>
      </c>
      <c r="S65" s="0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66">
      <c r="A66" s="26" t="n">
        <v>65</v>
      </c>
      <c r="B66" s="27" t="n">
        <v>5.5</v>
      </c>
      <c r="C66" s="27" t="n">
        <v>55</v>
      </c>
      <c r="D66" s="27" t="n">
        <v>55</v>
      </c>
      <c r="E66" s="27" t="n">
        <v>165</v>
      </c>
      <c r="F66" s="27" t="n">
        <v>-5</v>
      </c>
      <c r="G66" s="26" t="inlineStr">
        <is>
          <t>Sotto 2</t>
        </is>
      </c>
      <c r="H66" s="27" t="n">
        <v>37</v>
      </c>
      <c r="I66" s="28" t="n">
        <v>-0.95</v>
      </c>
      <c r="J66" s="28" t="n">
        <v>4.55</v>
      </c>
      <c r="K66" s="29" t="inlineStr">
        <is>
          <t>Inconsapevolezza marcata (calibrazione scarsa)</t>
        </is>
      </c>
      <c r="L66" s="29" t="inlineStr">
        <is>
          <t>Inconsapevolezza marcata (calibrazione scarsa) — Per ogni domanda: scrivi 1 riga di motivazione. Se non la sai scrivere, confidenza bassa senza vergogna.</t>
        </is>
      </c>
      <c r="M66" s="29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  <c r="N66" s="28" t="inlineStr">
        <is>
          <t>5.5|Sotto 2</t>
        </is>
      </c>
      <c r="O66" s="0" t="inlineStr">
        <is>
          <t>5.5|Sotto 2</t>
        </is>
      </c>
      <c r="P66" s="0" t="n">
        <v>4.55</v>
      </c>
      <c r="Q66" s="0" t="inlineStr">
        <is>
          <t>Inconsapevolezza marcata (calibrazione scarsa)</t>
        </is>
      </c>
      <c r="R66" s="0" t="inlineStr">
        <is>
          <t>Inconsapevolezza marcata (calibrazione scarsa) — Per ogni domanda: scrivi 1 riga di motivazione. Se non la sai scrivere, confidenza bassa senza vergogna.</t>
        </is>
      </c>
      <c r="S66" s="0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67">
      <c r="A67" s="26" t="n">
        <v>66</v>
      </c>
      <c r="B67" s="27" t="n">
        <v>5.5</v>
      </c>
      <c r="C67" s="27" t="n">
        <v>55</v>
      </c>
      <c r="D67" s="27" t="n">
        <v>55</v>
      </c>
      <c r="E67" s="27" t="n">
        <v>165</v>
      </c>
      <c r="F67" s="27" t="n">
        <v>-5</v>
      </c>
      <c r="G67" s="26" t="inlineStr">
        <is>
          <t>Sotto 1</t>
        </is>
      </c>
      <c r="H67" s="27" t="n">
        <v>46</v>
      </c>
      <c r="I67" s="28" t="n">
        <v>-0.725</v>
      </c>
      <c r="J67" s="28" t="n">
        <v>4.775</v>
      </c>
      <c r="K67" s="29" t="inlineStr">
        <is>
          <t>Incertezza / calibrazione da migliorare</t>
        </is>
      </c>
      <c r="L67" s="29" t="inlineStr">
        <is>
          <t>Incertezza / calibrazione da migliorare — Allenati con un controllo: 'posso spiegare in 10 secondi perché?' Se sì alza, se no abbassa la confidenza.</t>
        </is>
      </c>
      <c r="M67" s="29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  <c r="N67" s="28" t="inlineStr">
        <is>
          <t>5.5|Sotto 1</t>
        </is>
      </c>
      <c r="O67" s="0" t="inlineStr">
        <is>
          <t>5.5|Sotto 1</t>
        </is>
      </c>
      <c r="P67" s="0" t="n">
        <v>4.775</v>
      </c>
      <c r="Q67" s="0" t="inlineStr">
        <is>
          <t>Incertezza / calibrazione da migliorare</t>
        </is>
      </c>
      <c r="R67" s="0" t="inlineStr">
        <is>
          <t>Incertezza / calibrazione da migliorare — Allenati con un controllo: 'posso spiegare in 10 secondi perché?' Se sì alza, se no abbassa la confidenza.</t>
        </is>
      </c>
      <c r="S67" s="0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</row>
    <row r="68">
      <c r="A68" s="26" t="n">
        <v>67</v>
      </c>
      <c r="B68" s="27" t="n">
        <v>5.5</v>
      </c>
      <c r="C68" s="27" t="n">
        <v>55</v>
      </c>
      <c r="D68" s="27" t="n">
        <v>55</v>
      </c>
      <c r="E68" s="27" t="n">
        <v>165</v>
      </c>
      <c r="F68" s="27" t="n">
        <v>-5</v>
      </c>
      <c r="G68" s="26" t="inlineStr">
        <is>
          <t>Sulla spezzata (y_min)</t>
        </is>
      </c>
      <c r="H68" s="27" t="n">
        <v>55</v>
      </c>
      <c r="I68" s="28" t="n">
        <v>-0.5</v>
      </c>
      <c r="J68" s="28" t="n">
        <v>5</v>
      </c>
      <c r="K68" s="29" t="inlineStr">
        <is>
          <t>Calibrazione minima OK</t>
        </is>
      </c>
      <c r="L68" s="29" t="inlineStr">
        <is>
          <t>Calibrazione minima OK — Obiettivo: aumentare la precisione delle motivazioni (non solo la risposta) per salire di livello.</t>
        </is>
      </c>
      <c r="M68" s="29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  <c r="N68" s="28" t="inlineStr">
        <is>
          <t>5.5|Sulla spezzata (y_min)</t>
        </is>
      </c>
      <c r="O68" s="0" t="inlineStr">
        <is>
          <t>5.5|Sulla spezzata (y_min)</t>
        </is>
      </c>
      <c r="P68" s="0" t="n">
        <v>5</v>
      </c>
      <c r="Q68" s="0" t="inlineStr">
        <is>
          <t>Calibrazione minima OK</t>
        </is>
      </c>
      <c r="R68" s="0" t="inlineStr">
        <is>
          <t>Calibrazione minima OK — Obiettivo: aumentare la precisione delle motivazioni (non solo la risposta) per salire di livello.</t>
        </is>
      </c>
      <c r="S68" s="0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</row>
    <row r="69">
      <c r="A69" s="26" t="n">
        <v>68</v>
      </c>
      <c r="B69" s="27" t="n">
        <v>5.5</v>
      </c>
      <c r="C69" s="27" t="n">
        <v>55</v>
      </c>
      <c r="D69" s="27" t="n">
        <v>55</v>
      </c>
      <c r="E69" s="27" t="n">
        <v>165</v>
      </c>
      <c r="F69" s="27" t="n">
        <v>-5</v>
      </c>
      <c r="G69" s="26" t="inlineStr">
        <is>
          <t>Sopra 1</t>
        </is>
      </c>
      <c r="H69" s="27" t="n">
        <v>71.5</v>
      </c>
      <c r="I69" s="28" t="n">
        <v>0.02500000000000002</v>
      </c>
      <c r="J69" s="28" t="n">
        <v>5.525</v>
      </c>
      <c r="K69" s="29" t="inlineStr">
        <is>
          <t>Buona calibrazione (sa e lo sa)</t>
        </is>
      </c>
      <c r="L69" s="29" t="inlineStr">
        <is>
          <t>Buona calibrazione (sa e lo sa) — Consolida: rivedi 2 errori e scrivi la 'regola d'oro' che li evita.</t>
        </is>
      </c>
      <c r="M69" s="29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  <c r="N69" s="28" t="inlineStr">
        <is>
          <t>5.5|Sopra 1</t>
        </is>
      </c>
      <c r="O69" s="0" t="inlineStr">
        <is>
          <t>5.5|Sopra 1</t>
        </is>
      </c>
      <c r="P69" s="0" t="n">
        <v>5.525</v>
      </c>
      <c r="Q69" s="0" t="inlineStr">
        <is>
          <t>Buona calibrazione (sa e lo sa)</t>
        </is>
      </c>
      <c r="R69" s="0" t="inlineStr">
        <is>
          <t>Buona calibrazione (sa e lo sa) — Consolida: rivedi 2 errori e scrivi la 'regola d'oro' che li evita.</t>
        </is>
      </c>
      <c r="S69" s="0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</row>
    <row r="70">
      <c r="A70" s="26" t="n">
        <v>69</v>
      </c>
      <c r="B70" s="27" t="n">
        <v>5.5</v>
      </c>
      <c r="C70" s="27" t="n">
        <v>55</v>
      </c>
      <c r="D70" s="27" t="n">
        <v>55</v>
      </c>
      <c r="E70" s="27" t="n">
        <v>165</v>
      </c>
      <c r="F70" s="27" t="n">
        <v>-5</v>
      </c>
      <c r="G70" s="26" t="inlineStr">
        <is>
          <t>Sopra 2</t>
        </is>
      </c>
      <c r="H70" s="27" t="n">
        <v>88</v>
      </c>
      <c r="I70" s="28" t="n">
        <v>0.55</v>
      </c>
      <c r="J70" s="28" t="n">
        <v>6.05</v>
      </c>
      <c r="K70" s="29" t="inlineStr">
        <is>
          <t>Consapevolezza alta (molto ben tarato)</t>
        </is>
      </c>
      <c r="L70" s="29" t="inlineStr">
        <is>
          <t>Consapevolezza alta (molto ben tarato) — Fai un passo in più: spiega a un compagno il criterio (insegnare = super test).</t>
        </is>
      </c>
      <c r="M70" s="29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  <c r="N70" s="28" t="inlineStr">
        <is>
          <t>5.5|Sopra 2</t>
        </is>
      </c>
      <c r="O70" s="0" t="inlineStr">
        <is>
          <t>5.5|Sopra 2</t>
        </is>
      </c>
      <c r="P70" s="0" t="n">
        <v>6.05</v>
      </c>
      <c r="Q70" s="0" t="inlineStr">
        <is>
          <t>Consapevolezza alta (molto ben tarato)</t>
        </is>
      </c>
      <c r="R70" s="0" t="inlineStr">
        <is>
          <t>Consapevolezza alta (molto ben tarato) — Fai un passo in più: spiega a un compagno il criterio (insegnare = super test).</t>
        </is>
      </c>
      <c r="S70" s="0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</row>
    <row r="71">
      <c r="A71" s="26" t="n">
        <v>70</v>
      </c>
      <c r="B71" s="27" t="n">
        <v>5.5</v>
      </c>
      <c r="C71" s="27" t="n">
        <v>55</v>
      </c>
      <c r="D71" s="27" t="n">
        <v>55</v>
      </c>
      <c r="E71" s="27" t="n">
        <v>165</v>
      </c>
      <c r="F71" s="27" t="n">
        <v>-5</v>
      </c>
      <c r="G71" s="26" t="inlineStr">
        <is>
          <t>Retta consapevolezza (y_max)</t>
        </is>
      </c>
      <c r="H71" s="27" t="n">
        <v>165</v>
      </c>
      <c r="I71" s="28" t="n">
        <v>3</v>
      </c>
      <c r="J71" s="28" t="n">
        <v>8.5</v>
      </c>
      <c r="K71" s="29" t="inlineStr">
        <is>
          <t>Consapevolezza eccellente</t>
        </is>
      </c>
      <c r="L71" s="29" t="inlineStr">
        <is>
          <t>Consapevolezza eccellente — Sfida extra: prova a individuare i casi limite e le eccezioni (rafforza il pensiero critico).</t>
        </is>
      </c>
      <c r="M71" s="29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  <c r="N71" s="28" t="inlineStr">
        <is>
          <t>5.5|Retta consapevolezza (y_max)</t>
        </is>
      </c>
      <c r="O71" s="0" t="inlineStr">
        <is>
          <t>5.5|Retta consapevolezza (y_max)</t>
        </is>
      </c>
      <c r="P71" s="0" t="n">
        <v>8.5</v>
      </c>
      <c r="Q71" s="0" t="inlineStr">
        <is>
          <t>Consapevolezza eccellente</t>
        </is>
      </c>
      <c r="R71" s="0" t="inlineStr">
        <is>
          <t>Consapevolezza eccellente — Sfida extra: prova a individuare i casi limite e le eccezioni (rafforza il pensiero critico).</t>
        </is>
      </c>
      <c r="S71" s="0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</row>
    <row r="72">
      <c r="A72" s="26" t="n">
        <v>71</v>
      </c>
      <c r="B72" s="27" t="n">
        <v>6</v>
      </c>
      <c r="C72" s="27" t="n">
        <v>60</v>
      </c>
      <c r="D72" s="27" t="n">
        <v>60</v>
      </c>
      <c r="E72" s="27" t="n">
        <v>180</v>
      </c>
      <c r="F72" s="27" t="n">
        <v>0</v>
      </c>
      <c r="G72" s="26" t="inlineStr">
        <is>
          <t>Molto sotto (y_low)</t>
        </is>
      </c>
      <c r="H72" s="27" t="n">
        <v>0</v>
      </c>
      <c r="I72" s="28" t="n">
        <v>-2</v>
      </c>
      <c r="J72" s="28" t="n">
        <v>4</v>
      </c>
      <c r="K72" s="29" t="inlineStr">
        <is>
          <t>Rischio misconcezioni / confidenza fuori bersaglio</t>
        </is>
      </c>
      <c r="L72" s="29" t="inlineStr">
        <is>
          <t>Rischio misconcezioni / confidenza fuori bersaglio — Scegli 3 risposte sbagliate e riscrivile con regola/criterio: se non trovi la regola, la prossima volta confidenza bassa.</t>
        </is>
      </c>
      <c r="M72" s="29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72" s="28" t="inlineStr">
        <is>
          <t>6.0|Molto sotto (y_low)</t>
        </is>
      </c>
      <c r="O72" s="0" t="inlineStr">
        <is>
          <t>6.0|Molto sotto (y_low)</t>
        </is>
      </c>
      <c r="P72" s="0" t="n">
        <v>4</v>
      </c>
      <c r="Q72" s="0" t="inlineStr">
        <is>
          <t>Rischio misconcezioni / confidenza fuori bersaglio</t>
        </is>
      </c>
      <c r="R72" s="0" t="inlineStr">
        <is>
          <t>Rischio misconcezioni / confidenza fuori bersaglio — Scegli 3 risposte sbagliate e riscrivile con regola/criterio: se non trovi la regola, la prossima volta confidenza bassa.</t>
        </is>
      </c>
      <c r="S72" s="0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73">
      <c r="A73" s="26" t="n">
        <v>72</v>
      </c>
      <c r="B73" s="27" t="n">
        <v>6</v>
      </c>
      <c r="C73" s="27" t="n">
        <v>60</v>
      </c>
      <c r="D73" s="27" t="n">
        <v>60</v>
      </c>
      <c r="E73" s="27" t="n">
        <v>180</v>
      </c>
      <c r="F73" s="27" t="n">
        <v>0</v>
      </c>
      <c r="G73" s="26" t="inlineStr">
        <is>
          <t>Sotto 2</t>
        </is>
      </c>
      <c r="H73" s="27" t="n">
        <v>42</v>
      </c>
      <c r="I73" s="28" t="n">
        <v>-0.95</v>
      </c>
      <c r="J73" s="28" t="n">
        <v>5.05</v>
      </c>
      <c r="K73" s="29" t="inlineStr">
        <is>
          <t>Inconsapevolezza marcata (calibrazione scarsa)</t>
        </is>
      </c>
      <c r="L73" s="29" t="inlineStr">
        <is>
          <t>Inconsapevolezza marcata (calibrazione scarsa) — Per ogni domanda: scrivi 1 riga di motivazione. Se non la sai scrivere, confidenza bassa senza vergogna.</t>
        </is>
      </c>
      <c r="M73" s="29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  <c r="N73" s="28" t="inlineStr">
        <is>
          <t>6.0|Sotto 2</t>
        </is>
      </c>
      <c r="O73" s="0" t="inlineStr">
        <is>
          <t>6.0|Sotto 2</t>
        </is>
      </c>
      <c r="P73" s="0" t="n">
        <v>5.05</v>
      </c>
      <c r="Q73" s="0" t="inlineStr">
        <is>
          <t>Inconsapevolezza marcata (calibrazione scarsa)</t>
        </is>
      </c>
      <c r="R73" s="0" t="inlineStr">
        <is>
          <t>Inconsapevolezza marcata (calibrazione scarsa) — Per ogni domanda: scrivi 1 riga di motivazione. Se non la sai scrivere, confidenza bassa senza vergogna.</t>
        </is>
      </c>
      <c r="S73" s="0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74">
      <c r="A74" s="26" t="n">
        <v>73</v>
      </c>
      <c r="B74" s="27" t="n">
        <v>6</v>
      </c>
      <c r="C74" s="27" t="n">
        <v>60</v>
      </c>
      <c r="D74" s="27" t="n">
        <v>60</v>
      </c>
      <c r="E74" s="27" t="n">
        <v>180</v>
      </c>
      <c r="F74" s="27" t="n">
        <v>0</v>
      </c>
      <c r="G74" s="26" t="inlineStr">
        <is>
          <t>Sotto 1</t>
        </is>
      </c>
      <c r="H74" s="27" t="n">
        <v>51</v>
      </c>
      <c r="I74" s="28" t="n">
        <v>-0.725</v>
      </c>
      <c r="J74" s="28" t="n">
        <v>5.275</v>
      </c>
      <c r="K74" s="29" t="inlineStr">
        <is>
          <t>Incertezza / calibrazione da migliorare</t>
        </is>
      </c>
      <c r="L74" s="29" t="inlineStr">
        <is>
          <t>Incertezza / calibrazione da migliorare — Allenati con un controllo: 'posso spiegare in 10 secondi perché?' Se sì alza, se no abbassa la confidenza.</t>
        </is>
      </c>
      <c r="M74" s="29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  <c r="N74" s="28" t="inlineStr">
        <is>
          <t>6.0|Sotto 1</t>
        </is>
      </c>
      <c r="O74" s="0" t="inlineStr">
        <is>
          <t>6.0|Sotto 1</t>
        </is>
      </c>
      <c r="P74" s="0" t="n">
        <v>5.275</v>
      </c>
      <c r="Q74" s="0" t="inlineStr">
        <is>
          <t>Incertezza / calibrazione da migliorare</t>
        </is>
      </c>
      <c r="R74" s="0" t="inlineStr">
        <is>
          <t>Incertezza / calibrazione da migliorare — Allenati con un controllo: 'posso spiegare in 10 secondi perché?' Se sì alza, se no abbassa la confidenza.</t>
        </is>
      </c>
      <c r="S74" s="0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</row>
    <row r="75">
      <c r="A75" s="26" t="n">
        <v>74</v>
      </c>
      <c r="B75" s="27" t="n">
        <v>6</v>
      </c>
      <c r="C75" s="27" t="n">
        <v>60</v>
      </c>
      <c r="D75" s="27" t="n">
        <v>60</v>
      </c>
      <c r="E75" s="27" t="n">
        <v>180</v>
      </c>
      <c r="F75" s="27" t="n">
        <v>0</v>
      </c>
      <c r="G75" s="26" t="inlineStr">
        <is>
          <t>Sulla spezzata (y_min)</t>
        </is>
      </c>
      <c r="H75" s="27" t="n">
        <v>60</v>
      </c>
      <c r="I75" s="28" t="n">
        <v>-0.5</v>
      </c>
      <c r="J75" s="28" t="n">
        <v>5.5</v>
      </c>
      <c r="K75" s="29" t="inlineStr">
        <is>
          <t>Calibrazione minima OK</t>
        </is>
      </c>
      <c r="L75" s="29" t="inlineStr">
        <is>
          <t>Calibrazione minima OK — Obiettivo: aumentare la precisione delle motivazioni (non solo la risposta) per salire di livello.</t>
        </is>
      </c>
      <c r="M75" s="29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  <c r="N75" s="28" t="inlineStr">
        <is>
          <t>6.0|Sulla spezzata (y_min)</t>
        </is>
      </c>
      <c r="O75" s="0" t="inlineStr">
        <is>
          <t>6.0|Sulla spezzata (y_min)</t>
        </is>
      </c>
      <c r="P75" s="0" t="n">
        <v>5.5</v>
      </c>
      <c r="Q75" s="0" t="inlineStr">
        <is>
          <t>Calibrazione minima OK</t>
        </is>
      </c>
      <c r="R75" s="0" t="inlineStr">
        <is>
          <t>Calibrazione minima OK — Obiettivo: aumentare la precisione delle motivazioni (non solo la risposta) per salire di livello.</t>
        </is>
      </c>
      <c r="S75" s="0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</row>
    <row r="76">
      <c r="A76" s="26" t="n">
        <v>75</v>
      </c>
      <c r="B76" s="27" t="n">
        <v>6</v>
      </c>
      <c r="C76" s="27" t="n">
        <v>60</v>
      </c>
      <c r="D76" s="27" t="n">
        <v>60</v>
      </c>
      <c r="E76" s="27" t="n">
        <v>180</v>
      </c>
      <c r="F76" s="27" t="n">
        <v>0</v>
      </c>
      <c r="G76" s="26" t="inlineStr">
        <is>
          <t>Sopra 1</t>
        </is>
      </c>
      <c r="H76" s="27" t="n">
        <v>78</v>
      </c>
      <c r="I76" s="28" t="n">
        <v>0.02500000000000002</v>
      </c>
      <c r="J76" s="28" t="n">
        <v>6.025</v>
      </c>
      <c r="K76" s="29" t="inlineStr">
        <is>
          <t>Buona calibrazione (sa e lo sa)</t>
        </is>
      </c>
      <c r="L76" s="29" t="inlineStr">
        <is>
          <t>Buona calibrazione (sa e lo sa) — Consolida: rivedi 2 errori e scrivi la 'regola d'oro' che li evita.</t>
        </is>
      </c>
      <c r="M76" s="29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  <c r="N76" s="28" t="inlineStr">
        <is>
          <t>6.0|Sopra 1</t>
        </is>
      </c>
      <c r="O76" s="0" t="inlineStr">
        <is>
          <t>6.0|Sopra 1</t>
        </is>
      </c>
      <c r="P76" s="0" t="n">
        <v>6.025</v>
      </c>
      <c r="Q76" s="0" t="inlineStr">
        <is>
          <t>Buona calibrazione (sa e lo sa)</t>
        </is>
      </c>
      <c r="R76" s="0" t="inlineStr">
        <is>
          <t>Buona calibrazione (sa e lo sa) — Consolida: rivedi 2 errori e scrivi la 'regola d'oro' che li evita.</t>
        </is>
      </c>
      <c r="S76" s="0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</row>
    <row r="77">
      <c r="A77" s="26" t="n">
        <v>76</v>
      </c>
      <c r="B77" s="27" t="n">
        <v>6</v>
      </c>
      <c r="C77" s="27" t="n">
        <v>60</v>
      </c>
      <c r="D77" s="27" t="n">
        <v>60</v>
      </c>
      <c r="E77" s="27" t="n">
        <v>180</v>
      </c>
      <c r="F77" s="27" t="n">
        <v>0</v>
      </c>
      <c r="G77" s="26" t="inlineStr">
        <is>
          <t>Sopra 2</t>
        </is>
      </c>
      <c r="H77" s="27" t="n">
        <v>96</v>
      </c>
      <c r="I77" s="28" t="n">
        <v>0.55</v>
      </c>
      <c r="J77" s="28" t="n">
        <v>6.55</v>
      </c>
      <c r="K77" s="29" t="inlineStr">
        <is>
          <t>Consapevolezza alta (molto ben tarato)</t>
        </is>
      </c>
      <c r="L77" s="29" t="inlineStr">
        <is>
          <t>Consapevolezza alta (molto ben tarato) — Fai un passo in più: spiega a un compagno il criterio (insegnare = super test).</t>
        </is>
      </c>
      <c r="M77" s="29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  <c r="N77" s="28" t="inlineStr">
        <is>
          <t>6.0|Sopra 2</t>
        </is>
      </c>
      <c r="O77" s="0" t="inlineStr">
        <is>
          <t>6.0|Sopra 2</t>
        </is>
      </c>
      <c r="P77" s="0" t="n">
        <v>6.55</v>
      </c>
      <c r="Q77" s="0" t="inlineStr">
        <is>
          <t>Consapevolezza alta (molto ben tarato)</t>
        </is>
      </c>
      <c r="R77" s="0" t="inlineStr">
        <is>
          <t>Consapevolezza alta (molto ben tarato) — Fai un passo in più: spiega a un compagno il criterio (insegnare = super test).</t>
        </is>
      </c>
      <c r="S77" s="0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</row>
    <row r="78">
      <c r="A78" s="26" t="n">
        <v>77</v>
      </c>
      <c r="B78" s="27" t="n">
        <v>6</v>
      </c>
      <c r="C78" s="27" t="n">
        <v>60</v>
      </c>
      <c r="D78" s="27" t="n">
        <v>60</v>
      </c>
      <c r="E78" s="27" t="n">
        <v>180</v>
      </c>
      <c r="F78" s="27" t="n">
        <v>0</v>
      </c>
      <c r="G78" s="26" t="inlineStr">
        <is>
          <t>Retta consapevolezza (y_max)</t>
        </is>
      </c>
      <c r="H78" s="27" t="n">
        <v>180</v>
      </c>
      <c r="I78" s="28" t="n">
        <v>3</v>
      </c>
      <c r="J78" s="28" t="n">
        <v>9</v>
      </c>
      <c r="K78" s="29" t="inlineStr">
        <is>
          <t>Consapevolezza eccellente</t>
        </is>
      </c>
      <c r="L78" s="29" t="inlineStr">
        <is>
          <t>Consapevolezza eccellente — Sfida extra: prova a individuare i casi limite e le eccezioni (rafforza il pensiero critico).</t>
        </is>
      </c>
      <c r="M78" s="29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  <c r="N78" s="28" t="inlineStr">
        <is>
          <t>6.0|Retta consapevolezza (y_max)</t>
        </is>
      </c>
      <c r="O78" s="0" t="inlineStr">
        <is>
          <t>6.0|Retta consapevolezza (y_max)</t>
        </is>
      </c>
      <c r="P78" s="0" t="n">
        <v>9</v>
      </c>
      <c r="Q78" s="0" t="inlineStr">
        <is>
          <t>Consapevolezza eccellente</t>
        </is>
      </c>
      <c r="R78" s="0" t="inlineStr">
        <is>
          <t>Consapevolezza eccellente — Sfida extra: prova a individuare i casi limite e le eccezioni (rafforza il pensiero critico).</t>
        </is>
      </c>
      <c r="S78" s="0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</row>
    <row r="79">
      <c r="A79" s="26" t="n">
        <v>78</v>
      </c>
      <c r="B79" s="27" t="n">
        <v>6.5</v>
      </c>
      <c r="C79" s="27" t="n">
        <v>65</v>
      </c>
      <c r="D79" s="27" t="n">
        <v>65</v>
      </c>
      <c r="E79" s="27" t="n">
        <v>195</v>
      </c>
      <c r="F79" s="27" t="n">
        <v>5</v>
      </c>
      <c r="G79" s="26" t="inlineStr">
        <is>
          <t>Molto sotto (y_low)</t>
        </is>
      </c>
      <c r="H79" s="27" t="n">
        <v>5</v>
      </c>
      <c r="I79" s="28" t="n">
        <v>-2</v>
      </c>
      <c r="J79" s="28" t="n">
        <v>4.5</v>
      </c>
      <c r="K79" s="29" t="inlineStr">
        <is>
          <t>Rischio misconcezioni / confidenza fuori bersaglio</t>
        </is>
      </c>
      <c r="L79" s="29" t="inlineStr">
        <is>
          <t>Rischio misconcezioni / confidenza fuori bersaglio — Scegli 3 risposte sbagliate e riscrivile con regola/criterio: se non trovi la regola, la prossima volta confidenza bassa.</t>
        </is>
      </c>
      <c r="M79" s="29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79" s="28" t="inlineStr">
        <is>
          <t>6.5|Molto sotto (y_low)</t>
        </is>
      </c>
      <c r="O79" s="0" t="inlineStr">
        <is>
          <t>6.5|Molto sotto (y_low)</t>
        </is>
      </c>
      <c r="P79" s="0" t="n">
        <v>4.5</v>
      </c>
      <c r="Q79" s="0" t="inlineStr">
        <is>
          <t>Rischio misconcezioni / confidenza fuori bersaglio</t>
        </is>
      </c>
      <c r="R79" s="0" t="inlineStr">
        <is>
          <t>Rischio misconcezioni / confidenza fuori bersaglio — Scegli 3 risposte sbagliate e riscrivile con regola/criterio: se non trovi la regola, la prossima volta confidenza bassa.</t>
        </is>
      </c>
      <c r="S79" s="0" t="inlineStr">
        <is>
          <t>Base sufficiente: ora conta migliorare sia precisione sia consapevolezza.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80">
      <c r="A80" s="26" t="n">
        <v>79</v>
      </c>
      <c r="B80" s="27" t="n">
        <v>6.5</v>
      </c>
      <c r="C80" s="27" t="n">
        <v>65</v>
      </c>
      <c r="D80" s="27" t="n">
        <v>65</v>
      </c>
      <c r="E80" s="27" t="n">
        <v>195</v>
      </c>
      <c r="F80" s="27" t="n">
        <v>5</v>
      </c>
      <c r="G80" s="26" t="inlineStr">
        <is>
          <t>Sotto 2</t>
        </is>
      </c>
      <c r="H80" s="27" t="n">
        <v>47</v>
      </c>
      <c r="I80" s="28" t="n">
        <v>-0.95</v>
      </c>
      <c r="J80" s="28" t="n">
        <v>5.55</v>
      </c>
      <c r="K80" s="29" t="inlineStr">
        <is>
          <t>Inconsapevolezza marcata (calibrazione scarsa)</t>
        </is>
      </c>
      <c r="L80" s="29" t="inlineStr">
        <is>
          <t>Inconsapevolezza marcata (calibrazione scarsa) — Per ogni domanda: scrivi 1 riga di motivazione. Se non la sai scrivere, confidenza bassa senza vergogna.</t>
        </is>
      </c>
      <c r="M80" s="29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  <c r="N80" s="28" t="inlineStr">
        <is>
          <t>6.5|Sotto 2</t>
        </is>
      </c>
      <c r="O80" s="0" t="inlineStr">
        <is>
          <t>6.5|Sotto 2</t>
        </is>
      </c>
      <c r="P80" s="0" t="n">
        <v>5.55</v>
      </c>
      <c r="Q80" s="0" t="inlineStr">
        <is>
          <t>Inconsapevolezza marcata (calibrazione scarsa)</t>
        </is>
      </c>
      <c r="R80" s="0" t="inlineStr">
        <is>
          <t>Inconsapevolezza marcata (calibrazione scarsa) — Per ogni domanda: scrivi 1 riga di motivazione. Se non la sai scrivere, confidenza bassa senza vergogna.</t>
        </is>
      </c>
      <c r="S80" s="0" t="inlineStr">
        <is>
          <t>Base sufficiente: ora conta migliorare sia precisione sia consapevolezza.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81">
      <c r="A81" s="26" t="n">
        <v>80</v>
      </c>
      <c r="B81" s="27" t="n">
        <v>6.5</v>
      </c>
      <c r="C81" s="27" t="n">
        <v>65</v>
      </c>
      <c r="D81" s="27" t="n">
        <v>65</v>
      </c>
      <c r="E81" s="27" t="n">
        <v>195</v>
      </c>
      <c r="F81" s="27" t="n">
        <v>5</v>
      </c>
      <c r="G81" s="26" t="inlineStr">
        <is>
          <t>Sotto 1</t>
        </is>
      </c>
      <c r="H81" s="27" t="n">
        <v>56</v>
      </c>
      <c r="I81" s="28" t="n">
        <v>-0.725</v>
      </c>
      <c r="J81" s="28" t="n">
        <v>5.775</v>
      </c>
      <c r="K81" s="29" t="inlineStr">
        <is>
          <t>Incertezza / calibrazione da migliorare</t>
        </is>
      </c>
      <c r="L81" s="29" t="inlineStr">
        <is>
          <t>Incertezza / calibrazione da migliorare — Allenati con un controllo: 'posso spiegare in 10 secondi perché?' Se sì alza, se no abbassa la confidenza.</t>
        </is>
      </c>
      <c r="M81" s="29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  <c r="N81" s="28" t="inlineStr">
        <is>
          <t>6.5|Sotto 1</t>
        </is>
      </c>
      <c r="O81" s="0" t="inlineStr">
        <is>
          <t>6.5|Sotto 1</t>
        </is>
      </c>
      <c r="P81" s="0" t="n">
        <v>5.775</v>
      </c>
      <c r="Q81" s="0" t="inlineStr">
        <is>
          <t>Incertezza / calibrazione da migliorare</t>
        </is>
      </c>
      <c r="R81" s="0" t="inlineStr">
        <is>
          <t>Incertezza / calibrazione da migliorare — Allenati con un controllo: 'posso spiegare in 10 secondi perché?' Se sì alza, se no abbassa la confidenza.</t>
        </is>
      </c>
      <c r="S81" s="0" t="inlineStr">
        <is>
          <t>Base sufficiente: ora conta migliorare sia precisione sia consapevolezza. Sei vicino alla calibrazione, ma c'è ancora rumore: a volte ti fidi troppo o troppo poco. Consiglio pratico: Allenati con un controllo: 'posso spiegare in 10 secondi perché?' Se sì alza, se no abbassa la confidenza.</t>
        </is>
      </c>
    </row>
    <row r="82">
      <c r="A82" s="26" t="n">
        <v>81</v>
      </c>
      <c r="B82" s="27" t="n">
        <v>6.5</v>
      </c>
      <c r="C82" s="27" t="n">
        <v>65</v>
      </c>
      <c r="D82" s="27" t="n">
        <v>65</v>
      </c>
      <c r="E82" s="27" t="n">
        <v>195</v>
      </c>
      <c r="F82" s="27" t="n">
        <v>5</v>
      </c>
      <c r="G82" s="26" t="inlineStr">
        <is>
          <t>Sulla spezzata (y_min)</t>
        </is>
      </c>
      <c r="H82" s="27" t="n">
        <v>65</v>
      </c>
      <c r="I82" s="28" t="n">
        <v>-0.5</v>
      </c>
      <c r="J82" s="28" t="n">
        <v>6</v>
      </c>
      <c r="K82" s="29" t="inlineStr">
        <is>
          <t>Calibrazione minima OK</t>
        </is>
      </c>
      <c r="L82" s="29" t="inlineStr">
        <is>
          <t>Calibrazione minima OK — Obiettivo: aumentare la precisione delle motivazioni (non solo la risposta) per salire di livello.</t>
        </is>
      </c>
      <c r="M82" s="29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  <c r="N82" s="28" t="inlineStr">
        <is>
          <t>6.5|Sulla spezzata (y_min)</t>
        </is>
      </c>
      <c r="O82" s="0" t="inlineStr">
        <is>
          <t>6.5|Sulla spezzata (y_min)</t>
        </is>
      </c>
      <c r="P82" s="0" t="n">
        <v>6</v>
      </c>
      <c r="Q82" s="0" t="inlineStr">
        <is>
          <t>Calibrazione minima OK</t>
        </is>
      </c>
      <c r="R82" s="0" t="inlineStr">
        <is>
          <t>Calibrazione minima OK — Obiettivo: aumentare la precisione delle motivazioni (non solo la risposta) per salire di livello.</t>
        </is>
      </c>
      <c r="S82" s="0" t="inlineStr">
        <is>
          <t>Base sufficiente: ora conta migliorare sia precisione sia consapevolezza. Sei sul livello minimo di coerenza: la confidenza è generalmente ragionevole. Consiglio pratico: Obiettivo: aumentare la precisione delle motivazioni (non solo la risposta) per salire di livello.</t>
        </is>
      </c>
    </row>
    <row r="83">
      <c r="A83" s="26" t="n">
        <v>82</v>
      </c>
      <c r="B83" s="27" t="n">
        <v>6.5</v>
      </c>
      <c r="C83" s="27" t="n">
        <v>65</v>
      </c>
      <c r="D83" s="27" t="n">
        <v>65</v>
      </c>
      <c r="E83" s="27" t="n">
        <v>195</v>
      </c>
      <c r="F83" s="27" t="n">
        <v>5</v>
      </c>
      <c r="G83" s="26" t="inlineStr">
        <is>
          <t>Sopra 1</t>
        </is>
      </c>
      <c r="H83" s="27" t="n">
        <v>84.5</v>
      </c>
      <c r="I83" s="28" t="n">
        <v>0.02500000000000002</v>
      </c>
      <c r="J83" s="28" t="n">
        <v>6.525</v>
      </c>
      <c r="K83" s="29" t="inlineStr">
        <is>
          <t>Buona calibrazione (sa e lo sa)</t>
        </is>
      </c>
      <c r="L83" s="29" t="inlineStr">
        <is>
          <t>Buona calibrazione (sa e lo sa) — Consolida: rivedi 2 errori e scrivi la 'regola d'oro' che li evita.</t>
        </is>
      </c>
      <c r="M83" s="29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  <c r="N83" s="28" t="inlineStr">
        <is>
          <t>6.5|Sopra 1</t>
        </is>
      </c>
      <c r="O83" s="0" t="inlineStr">
        <is>
          <t>6.5|Sopra 1</t>
        </is>
      </c>
      <c r="P83" s="0" t="n">
        <v>6.525</v>
      </c>
      <c r="Q83" s="0" t="inlineStr">
        <is>
          <t>Buona calibrazione (sa e lo sa)</t>
        </is>
      </c>
      <c r="R83" s="0" t="inlineStr">
        <is>
          <t>Buona calibrazione (sa e lo sa) — Consolida: rivedi 2 errori e scrivi la 'regola d'oro' che li evita.</t>
        </is>
      </c>
      <c r="S83" s="0" t="inlineStr">
        <is>
          <t>Base sufficiente: ora conta migliorare sia precisione sia consapevolezza. Buona corrispondenza tra ciò che sai e quanto ti fidi: la tua consapevolezza aiuta a studiare meglio. Consiglio pratico: Consolida: rivedi 2 errori e scrivi la 'regola d'oro' che li evita.</t>
        </is>
      </c>
    </row>
    <row r="84">
      <c r="A84" s="26" t="n">
        <v>83</v>
      </c>
      <c r="B84" s="27" t="n">
        <v>6.5</v>
      </c>
      <c r="C84" s="27" t="n">
        <v>65</v>
      </c>
      <c r="D84" s="27" t="n">
        <v>65</v>
      </c>
      <c r="E84" s="27" t="n">
        <v>195</v>
      </c>
      <c r="F84" s="27" t="n">
        <v>5</v>
      </c>
      <c r="G84" s="26" t="inlineStr">
        <is>
          <t>Sopra 2</t>
        </is>
      </c>
      <c r="H84" s="27" t="n">
        <v>104</v>
      </c>
      <c r="I84" s="28" t="n">
        <v>0.55</v>
      </c>
      <c r="J84" s="28" t="n">
        <v>7.05</v>
      </c>
      <c r="K84" s="29" t="inlineStr">
        <is>
          <t>Consapevolezza alta (molto ben tarato)</t>
        </is>
      </c>
      <c r="L84" s="29" t="inlineStr">
        <is>
          <t>Consapevolezza alta (molto ben tarato) — Fai un passo in più: spiega a un compagno il criterio (insegnare = super test).</t>
        </is>
      </c>
      <c r="M84" s="29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  <c r="N84" s="28" t="inlineStr">
        <is>
          <t>6.5|Sopra 2</t>
        </is>
      </c>
      <c r="O84" s="0" t="inlineStr">
        <is>
          <t>6.5|Sopra 2</t>
        </is>
      </c>
      <c r="P84" s="0" t="n">
        <v>7.05</v>
      </c>
      <c r="Q84" s="0" t="inlineStr">
        <is>
          <t>Consapevolezza alta (molto ben tarato)</t>
        </is>
      </c>
      <c r="R84" s="0" t="inlineStr">
        <is>
          <t>Consapevolezza alta (molto ben tarato) — Fai un passo in più: spiega a un compagno il criterio (insegnare = super test).</t>
        </is>
      </c>
      <c r="S84" s="0" t="inlineStr">
        <is>
          <t>Base sufficiente: ora conta migliorare sia precisione sia consapevolezza. Ottima taratura: quando sei sicuro, di solito sei anche corretto. Consiglio pratico: Fai un passo in più: spiega a un compagno il criterio (insegnare = super test).</t>
        </is>
      </c>
    </row>
    <row r="85">
      <c r="A85" s="26" t="n">
        <v>84</v>
      </c>
      <c r="B85" s="27" t="n">
        <v>6.5</v>
      </c>
      <c r="C85" s="27" t="n">
        <v>65</v>
      </c>
      <c r="D85" s="27" t="n">
        <v>65</v>
      </c>
      <c r="E85" s="27" t="n">
        <v>195</v>
      </c>
      <c r="F85" s="27" t="n">
        <v>5</v>
      </c>
      <c r="G85" s="26" t="inlineStr">
        <is>
          <t>Retta consapevolezza (y_max)</t>
        </is>
      </c>
      <c r="H85" s="27" t="n">
        <v>195</v>
      </c>
      <c r="I85" s="28" t="n">
        <v>3</v>
      </c>
      <c r="J85" s="28" t="n">
        <v>9.5</v>
      </c>
      <c r="K85" s="29" t="inlineStr">
        <is>
          <t>Consapevolezza eccellente</t>
        </is>
      </c>
      <c r="L85" s="29" t="inlineStr">
        <is>
          <t>Consapevolezza eccellente — Sfida extra: prova a individuare i casi limite e le eccezioni (rafforza il pensiero critico).</t>
        </is>
      </c>
      <c r="M85" s="29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  <c r="N85" s="28" t="inlineStr">
        <is>
          <t>6.5|Retta consapevolezza (y_max)</t>
        </is>
      </c>
      <c r="O85" s="0" t="inlineStr">
        <is>
          <t>6.5|Retta consapevolezza (y_max)</t>
        </is>
      </c>
      <c r="P85" s="0" t="n">
        <v>9.5</v>
      </c>
      <c r="Q85" s="0" t="inlineStr">
        <is>
          <t>Consapevolezza eccellente</t>
        </is>
      </c>
      <c r="R85" s="0" t="inlineStr">
        <is>
          <t>Consapevolezza eccellente — Sfida extra: prova a individuare i casi limite e le eccezioni (rafforza il pensiero critico).</t>
        </is>
      </c>
      <c r="S85" s="0" t="inlineStr">
        <is>
          <t>Base sufficiente: ora conta migliorare sia precisione sia consapevolezza. Prestazione e consapevolezza vanno insieme: sei molto affidabile nelle tue scelte. Consiglio pratico: Sfida extra: prova a individuare i casi limite e le eccezioni (rafforza il pensiero critico).</t>
        </is>
      </c>
    </row>
    <row r="86">
      <c r="A86" s="26" t="n">
        <v>85</v>
      </c>
      <c r="B86" s="27" t="n">
        <v>7</v>
      </c>
      <c r="C86" s="27" t="n">
        <v>70</v>
      </c>
      <c r="D86" s="27" t="n">
        <v>80</v>
      </c>
      <c r="E86" s="27" t="n">
        <v>210</v>
      </c>
      <c r="F86" s="27" t="n">
        <v>10</v>
      </c>
      <c r="G86" s="26" t="inlineStr">
        <is>
          <t>Molto sotto (y_low)</t>
        </is>
      </c>
      <c r="H86" s="27" t="n">
        <v>10</v>
      </c>
      <c r="I86" s="28" t="n">
        <v>-2</v>
      </c>
      <c r="J86" s="28" t="n">
        <v>5</v>
      </c>
      <c r="K86" s="29" t="inlineStr">
        <is>
          <t>Rischio misconcezioni / confidenza fuori bersaglio</t>
        </is>
      </c>
      <c r="L86" s="29" t="inlineStr">
        <is>
          <t>Rischio misconcezioni / confidenza fuori bersaglio — Scegli 3 risposte sbagliate e riscrivile con regola/criterio: se non trovi la regola, la prossima volta confidenza bassa.</t>
        </is>
      </c>
      <c r="M86" s="29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86" s="28" t="inlineStr">
        <is>
          <t>7.0|Molto sotto (y_low)</t>
        </is>
      </c>
      <c r="O86" s="0" t="inlineStr">
        <is>
          <t>7.0|Molto sotto (y_low)</t>
        </is>
      </c>
      <c r="P86" s="0" t="n">
        <v>5</v>
      </c>
      <c r="Q86" s="0" t="inlineStr">
        <is>
          <t>Rischio misconcezioni / confidenza fuori bersaglio</t>
        </is>
      </c>
      <c r="R86" s="0" t="inlineStr">
        <is>
          <t>Rischio misconcezioni / confidenza fuori bersaglio — Scegli 3 risposte sbagliate e riscrivile con regola/criterio: se non trovi la regola, la prossima volta confidenza bassa.</t>
        </is>
      </c>
      <c r="S86" s="0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87">
      <c r="A87" s="26" t="n">
        <v>86</v>
      </c>
      <c r="B87" s="27" t="n">
        <v>7</v>
      </c>
      <c r="C87" s="27" t="n">
        <v>70</v>
      </c>
      <c r="D87" s="27" t="n">
        <v>80</v>
      </c>
      <c r="E87" s="27" t="n">
        <v>210</v>
      </c>
      <c r="F87" s="27" t="n">
        <v>10</v>
      </c>
      <c r="G87" s="26" t="inlineStr">
        <is>
          <t>Sotto 2</t>
        </is>
      </c>
      <c r="H87" s="27" t="n">
        <v>59</v>
      </c>
      <c r="I87" s="28" t="n">
        <v>-0.95</v>
      </c>
      <c r="J87" s="28" t="n">
        <v>6.05</v>
      </c>
      <c r="K87" s="29" t="inlineStr">
        <is>
          <t>Inconsapevolezza marcata (calibrazione scarsa)</t>
        </is>
      </c>
      <c r="L87" s="29" t="inlineStr">
        <is>
          <t>Inconsapevolezza marcata (calibrazione scarsa) — Per ogni domanda: scrivi 1 riga di motivazione. Se non la sai scrivere, confidenza bassa senza vergogna.</t>
        </is>
      </c>
      <c r="M87" s="29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  <c r="N87" s="28" t="inlineStr">
        <is>
          <t>7.0|Sotto 2</t>
        </is>
      </c>
      <c r="O87" s="0" t="inlineStr">
        <is>
          <t>7.0|Sotto 2</t>
        </is>
      </c>
      <c r="P87" s="0" t="n">
        <v>6.05</v>
      </c>
      <c r="Q87" s="0" t="inlineStr">
        <is>
          <t>Inconsapevolezza marcata (calibrazione scarsa)</t>
        </is>
      </c>
      <c r="R87" s="0" t="inlineStr">
        <is>
          <t>Inconsapevolezza marcata (calibrazione scarsa) — Per ogni domanda: scrivi 1 riga di motivazione. Se non la sai scrivere, confidenza bassa senza vergogna.</t>
        </is>
      </c>
      <c r="S87" s="0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88">
      <c r="A88" s="26" t="n">
        <v>87</v>
      </c>
      <c r="B88" s="27" t="n">
        <v>7</v>
      </c>
      <c r="C88" s="27" t="n">
        <v>70</v>
      </c>
      <c r="D88" s="27" t="n">
        <v>80</v>
      </c>
      <c r="E88" s="27" t="n">
        <v>210</v>
      </c>
      <c r="F88" s="27" t="n">
        <v>10</v>
      </c>
      <c r="G88" s="26" t="inlineStr">
        <is>
          <t>Sotto 1</t>
        </is>
      </c>
      <c r="H88" s="27" t="n">
        <v>69.5</v>
      </c>
      <c r="I88" s="28" t="n">
        <v>-0.725</v>
      </c>
      <c r="J88" s="28" t="n">
        <v>6.275</v>
      </c>
      <c r="K88" s="29" t="inlineStr">
        <is>
          <t>Incertezza / calibrazione da migliorare</t>
        </is>
      </c>
      <c r="L88" s="29" t="inlineStr">
        <is>
          <t>Incertezza / calibrazione da migliorare — Allenati con un controllo: 'posso spiegare in 10 secondi perché?' Se sì alza, se no abbassa la confidenza.</t>
        </is>
      </c>
      <c r="M88" s="29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  <c r="N88" s="28" t="inlineStr">
        <is>
          <t>7.0|Sotto 1</t>
        </is>
      </c>
      <c r="O88" s="0" t="inlineStr">
        <is>
          <t>7.0|Sotto 1</t>
        </is>
      </c>
      <c r="P88" s="0" t="n">
        <v>6.275</v>
      </c>
      <c r="Q88" s="0" t="inlineStr">
        <is>
          <t>Incertezza / calibrazione da migliorare</t>
        </is>
      </c>
      <c r="R88" s="0" t="inlineStr">
        <is>
          <t>Incertezza / calibrazione da migliorare — Allenati con un controllo: 'posso spiegare in 10 secondi perché?' Se sì alza, se no abbassa la confidenza.</t>
        </is>
      </c>
      <c r="S88" s="0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</row>
    <row r="89">
      <c r="A89" s="26" t="n">
        <v>88</v>
      </c>
      <c r="B89" s="27" t="n">
        <v>7</v>
      </c>
      <c r="C89" s="27" t="n">
        <v>70</v>
      </c>
      <c r="D89" s="27" t="n">
        <v>80</v>
      </c>
      <c r="E89" s="27" t="n">
        <v>210</v>
      </c>
      <c r="F89" s="27" t="n">
        <v>10</v>
      </c>
      <c r="G89" s="26" t="inlineStr">
        <is>
          <t>Sulla spezzata (y_min)</t>
        </is>
      </c>
      <c r="H89" s="27" t="n">
        <v>80</v>
      </c>
      <c r="I89" s="28" t="n">
        <v>-0.5</v>
      </c>
      <c r="J89" s="28" t="n">
        <v>6.5</v>
      </c>
      <c r="K89" s="29" t="inlineStr">
        <is>
          <t>Calibrazione minima OK</t>
        </is>
      </c>
      <c r="L89" s="29" t="inlineStr">
        <is>
          <t>Calibrazione minima OK — Obiettivo: aumentare la precisione delle motivazioni (non solo la risposta) per salire di livello.</t>
        </is>
      </c>
      <c r="M89" s="29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  <c r="N89" s="28" t="inlineStr">
        <is>
          <t>7.0|Sulla spezzata (y_min)</t>
        </is>
      </c>
      <c r="O89" s="0" t="inlineStr">
        <is>
          <t>7.0|Sulla spezzata (y_min)</t>
        </is>
      </c>
      <c r="P89" s="0" t="n">
        <v>6.5</v>
      </c>
      <c r="Q89" s="0" t="inlineStr">
        <is>
          <t>Calibrazione minima OK</t>
        </is>
      </c>
      <c r="R89" s="0" t="inlineStr">
        <is>
          <t>Calibrazione minima OK — Obiettivo: aumentare la precisione delle motivazioni (non solo la risposta) per salire di livello.</t>
        </is>
      </c>
      <c r="S89" s="0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</row>
    <row r="90">
      <c r="A90" s="26" t="n">
        <v>89</v>
      </c>
      <c r="B90" s="27" t="n">
        <v>7</v>
      </c>
      <c r="C90" s="27" t="n">
        <v>70</v>
      </c>
      <c r="D90" s="27" t="n">
        <v>80</v>
      </c>
      <c r="E90" s="27" t="n">
        <v>210</v>
      </c>
      <c r="F90" s="27" t="n">
        <v>10</v>
      </c>
      <c r="G90" s="26" t="inlineStr">
        <is>
          <t>Sopra 1</t>
        </is>
      </c>
      <c r="H90" s="27" t="n">
        <v>99.5</v>
      </c>
      <c r="I90" s="28" t="n">
        <v>0.02500000000000002</v>
      </c>
      <c r="J90" s="28" t="n">
        <v>7.025</v>
      </c>
      <c r="K90" s="29" t="inlineStr">
        <is>
          <t>Buona calibrazione (sa e lo sa)</t>
        </is>
      </c>
      <c r="L90" s="29" t="inlineStr">
        <is>
          <t>Buona calibrazione (sa e lo sa) — Consolida: rivedi 2 errori e scrivi la 'regola d'oro' che li evita.</t>
        </is>
      </c>
      <c r="M90" s="29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  <c r="N90" s="28" t="inlineStr">
        <is>
          <t>7.0|Sopra 1</t>
        </is>
      </c>
      <c r="O90" s="0" t="inlineStr">
        <is>
          <t>7.0|Sopra 1</t>
        </is>
      </c>
      <c r="P90" s="0" t="n">
        <v>7.025</v>
      </c>
      <c r="Q90" s="0" t="inlineStr">
        <is>
          <t>Buona calibrazione (sa e lo sa)</t>
        </is>
      </c>
      <c r="R90" s="0" t="inlineStr">
        <is>
          <t>Buona calibrazione (sa e lo sa) — Consolida: rivedi 2 errori e scrivi la 'regola d'oro' che li evita.</t>
        </is>
      </c>
      <c r="S90" s="0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</row>
    <row r="91">
      <c r="A91" s="26" t="n">
        <v>90</v>
      </c>
      <c r="B91" s="27" t="n">
        <v>7</v>
      </c>
      <c r="C91" s="27" t="n">
        <v>70</v>
      </c>
      <c r="D91" s="27" t="n">
        <v>80</v>
      </c>
      <c r="E91" s="27" t="n">
        <v>210</v>
      </c>
      <c r="F91" s="27" t="n">
        <v>10</v>
      </c>
      <c r="G91" s="26" t="inlineStr">
        <is>
          <t>Sopra 2</t>
        </is>
      </c>
      <c r="H91" s="27" t="n">
        <v>119</v>
      </c>
      <c r="I91" s="28" t="n">
        <v>0.55</v>
      </c>
      <c r="J91" s="28" t="n">
        <v>7.55</v>
      </c>
      <c r="K91" s="29" t="inlineStr">
        <is>
          <t>Consapevolezza alta (molto ben tarato)</t>
        </is>
      </c>
      <c r="L91" s="29" t="inlineStr">
        <is>
          <t>Consapevolezza alta (molto ben tarato) — Fai un passo in più: spiega a un compagno il criterio (insegnare = super test).</t>
        </is>
      </c>
      <c r="M91" s="29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  <c r="N91" s="28" t="inlineStr">
        <is>
          <t>7.0|Sopra 2</t>
        </is>
      </c>
      <c r="O91" s="0" t="inlineStr">
        <is>
          <t>7.0|Sopra 2</t>
        </is>
      </c>
      <c r="P91" s="0" t="n">
        <v>7.55</v>
      </c>
      <c r="Q91" s="0" t="inlineStr">
        <is>
          <t>Consapevolezza alta (molto ben tarato)</t>
        </is>
      </c>
      <c r="R91" s="0" t="inlineStr">
        <is>
          <t>Consapevolezza alta (molto ben tarato) — Fai un passo in più: spiega a un compagno il criterio (insegnare = super test).</t>
        </is>
      </c>
      <c r="S91" s="0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</row>
    <row r="92">
      <c r="A92" s="26" t="n">
        <v>91</v>
      </c>
      <c r="B92" s="27" t="n">
        <v>7</v>
      </c>
      <c r="C92" s="27" t="n">
        <v>70</v>
      </c>
      <c r="D92" s="27" t="n">
        <v>80</v>
      </c>
      <c r="E92" s="27" t="n">
        <v>210</v>
      </c>
      <c r="F92" s="27" t="n">
        <v>10</v>
      </c>
      <c r="G92" s="26" t="inlineStr">
        <is>
          <t>Retta consapevolezza (y_max)</t>
        </is>
      </c>
      <c r="H92" s="27" t="n">
        <v>210</v>
      </c>
      <c r="I92" s="28" t="n">
        <v>3</v>
      </c>
      <c r="J92" s="28" t="n">
        <v>10</v>
      </c>
      <c r="K92" s="29" t="inlineStr">
        <is>
          <t>Consapevolezza eccellente</t>
        </is>
      </c>
      <c r="L92" s="29" t="inlineStr">
        <is>
          <t>Consapevolezza eccellente — Sfida extra: prova a individuare i casi limite e le eccezioni (rafforza il pensiero critico).</t>
        </is>
      </c>
      <c r="M92" s="29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  <c r="N92" s="28" t="inlineStr">
        <is>
          <t>7.0|Retta consapevolezza (y_max)</t>
        </is>
      </c>
      <c r="O92" s="0" t="inlineStr">
        <is>
          <t>7.0|Retta consapevolezza (y_max)</t>
        </is>
      </c>
      <c r="P92" s="0" t="n">
        <v>10</v>
      </c>
      <c r="Q92" s="0" t="inlineStr">
        <is>
          <t>Consapevolezza eccellente</t>
        </is>
      </c>
      <c r="R92" s="0" t="inlineStr">
        <is>
          <t>Consapevolezza eccellente — Sfida extra: prova a individuare i casi limite e le eccezioni (rafforza il pensiero critico).</t>
        </is>
      </c>
      <c r="S92" s="0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</row>
    <row r="93">
      <c r="A93" s="26" t="n">
        <v>92</v>
      </c>
      <c r="B93" s="27" t="n">
        <v>7.5</v>
      </c>
      <c r="C93" s="27" t="n">
        <v>75</v>
      </c>
      <c r="D93" s="27" t="n">
        <v>100</v>
      </c>
      <c r="E93" s="27" t="n">
        <v>225</v>
      </c>
      <c r="F93" s="27" t="n">
        <v>15</v>
      </c>
      <c r="G93" s="26" t="inlineStr">
        <is>
          <t>Molto sotto (y_low)</t>
        </is>
      </c>
      <c r="H93" s="27" t="n">
        <v>15</v>
      </c>
      <c r="I93" s="28" t="n">
        <v>-2</v>
      </c>
      <c r="J93" s="28" t="n">
        <v>5.5</v>
      </c>
      <c r="K93" s="29" t="inlineStr">
        <is>
          <t>Rischio misconcezioni / confidenza fuori bersaglio</t>
        </is>
      </c>
      <c r="L93" s="29" t="inlineStr">
        <is>
          <t>Rischio misconcezioni / confidenza fuori bersaglio — Scegli 3 risposte sbagliate e riscrivile con regola/criterio: se non trovi la regola, la prossima volta confidenza bassa.</t>
        </is>
      </c>
      <c r="M93" s="29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93" s="28" t="inlineStr">
        <is>
          <t>7.5|Molto sotto (y_low)</t>
        </is>
      </c>
      <c r="O93" s="0" t="inlineStr">
        <is>
          <t>7.5|Molto sotto (y_low)</t>
        </is>
      </c>
      <c r="P93" s="0" t="n">
        <v>5.5</v>
      </c>
      <c r="Q93" s="0" t="inlineStr">
        <is>
          <t>Rischio misconcezioni / confidenza fuori bersaglio</t>
        </is>
      </c>
      <c r="R93" s="0" t="inlineStr">
        <is>
          <t>Rischio misconcezioni / confidenza fuori bersaglio — Scegli 3 risposte sbagliate e riscrivile con regola/criterio: se non trovi la regola, la prossima volta confidenza bassa.</t>
        </is>
      </c>
      <c r="S93" s="0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94">
      <c r="A94" s="26" t="n">
        <v>93</v>
      </c>
      <c r="B94" s="27" t="n">
        <v>7.5</v>
      </c>
      <c r="C94" s="27" t="n">
        <v>75</v>
      </c>
      <c r="D94" s="27" t="n">
        <v>100</v>
      </c>
      <c r="E94" s="27" t="n">
        <v>225</v>
      </c>
      <c r="F94" s="27" t="n">
        <v>15</v>
      </c>
      <c r="G94" s="26" t="inlineStr">
        <is>
          <t>Sotto 2</t>
        </is>
      </c>
      <c r="H94" s="27" t="n">
        <v>74.5</v>
      </c>
      <c r="I94" s="28" t="n">
        <v>-0.95</v>
      </c>
      <c r="J94" s="28" t="n">
        <v>6.55</v>
      </c>
      <c r="K94" s="29" t="inlineStr">
        <is>
          <t>Inconsapevolezza marcata (calibrazione scarsa)</t>
        </is>
      </c>
      <c r="L94" s="29" t="inlineStr">
        <is>
          <t>Inconsapevolezza marcata (calibrazione scarsa) — Per ogni domanda: scrivi 1 riga di motivazione. Se non la sai scrivere, confidenza bassa senza vergogna.</t>
        </is>
      </c>
      <c r="M94" s="29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  <c r="N94" s="28" t="inlineStr">
        <is>
          <t>7.5|Sotto 2</t>
        </is>
      </c>
      <c r="O94" s="0" t="inlineStr">
        <is>
          <t>7.5|Sotto 2</t>
        </is>
      </c>
      <c r="P94" s="0" t="n">
        <v>6.55</v>
      </c>
      <c r="Q94" s="0" t="inlineStr">
        <is>
          <t>Inconsapevolezza marcata (calibrazione scarsa)</t>
        </is>
      </c>
      <c r="R94" s="0" t="inlineStr">
        <is>
          <t>Inconsapevolezza marcata (calibrazione scarsa) — Per ogni domanda: scrivi 1 riga di motivazione. Se non la sai scrivere, confidenza bassa senza vergogna.</t>
        </is>
      </c>
      <c r="S94" s="0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95">
      <c r="A95" s="26" t="n">
        <v>94</v>
      </c>
      <c r="B95" s="27" t="n">
        <v>7.5</v>
      </c>
      <c r="C95" s="27" t="n">
        <v>75</v>
      </c>
      <c r="D95" s="27" t="n">
        <v>100</v>
      </c>
      <c r="E95" s="27" t="n">
        <v>225</v>
      </c>
      <c r="F95" s="27" t="n">
        <v>15</v>
      </c>
      <c r="G95" s="26" t="inlineStr">
        <is>
          <t>Sotto 1</t>
        </is>
      </c>
      <c r="H95" s="27" t="n">
        <v>87.25</v>
      </c>
      <c r="I95" s="28" t="n">
        <v>-0.725</v>
      </c>
      <c r="J95" s="28" t="n">
        <v>6.775</v>
      </c>
      <c r="K95" s="29" t="inlineStr">
        <is>
          <t>Incertezza / calibrazione da migliorare</t>
        </is>
      </c>
      <c r="L95" s="29" t="inlineStr">
        <is>
          <t>Incertezza / calibrazione da migliorare — Allenati con un controllo: 'posso spiegare in 10 secondi perché?' Se sì alza, se no abbassa la confidenza.</t>
        </is>
      </c>
      <c r="M95" s="29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  <c r="N95" s="28" t="inlineStr">
        <is>
          <t>7.5|Sotto 1</t>
        </is>
      </c>
      <c r="O95" s="0" t="inlineStr">
        <is>
          <t>7.5|Sotto 1</t>
        </is>
      </c>
      <c r="P95" s="0" t="n">
        <v>6.775</v>
      </c>
      <c r="Q95" s="0" t="inlineStr">
        <is>
          <t>Incertezza / calibrazione da migliorare</t>
        </is>
      </c>
      <c r="R95" s="0" t="inlineStr">
        <is>
          <t>Incertezza / calibrazione da migliorare — Allenati con un controllo: 'posso spiegare in 10 secondi perché?' Se sì alza, se no abbassa la confidenza.</t>
        </is>
      </c>
      <c r="S95" s="0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</row>
    <row r="96">
      <c r="A96" s="26" t="n">
        <v>95</v>
      </c>
      <c r="B96" s="27" t="n">
        <v>7.5</v>
      </c>
      <c r="C96" s="27" t="n">
        <v>75</v>
      </c>
      <c r="D96" s="27" t="n">
        <v>100</v>
      </c>
      <c r="E96" s="27" t="n">
        <v>225</v>
      </c>
      <c r="F96" s="27" t="n">
        <v>15</v>
      </c>
      <c r="G96" s="26" t="inlineStr">
        <is>
          <t>Sulla spezzata (y_min)</t>
        </is>
      </c>
      <c r="H96" s="27" t="n">
        <v>100</v>
      </c>
      <c r="I96" s="28" t="n">
        <v>-0.5</v>
      </c>
      <c r="J96" s="28" t="n">
        <v>7</v>
      </c>
      <c r="K96" s="29" t="inlineStr">
        <is>
          <t>Calibrazione minima OK</t>
        </is>
      </c>
      <c r="L96" s="29" t="inlineStr">
        <is>
          <t>Calibrazione minima OK — Obiettivo: aumentare la precisione delle motivazioni (non solo la risposta) per salire di livello.</t>
        </is>
      </c>
      <c r="M96" s="29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  <c r="N96" s="28" t="inlineStr">
        <is>
          <t>7.5|Sulla spezzata (y_min)</t>
        </is>
      </c>
      <c r="O96" s="0" t="inlineStr">
        <is>
          <t>7.5|Sulla spezzata (y_min)</t>
        </is>
      </c>
      <c r="P96" s="0" t="n">
        <v>7</v>
      </c>
      <c r="Q96" s="0" t="inlineStr">
        <is>
          <t>Calibrazione minima OK</t>
        </is>
      </c>
      <c r="R96" s="0" t="inlineStr">
        <is>
          <t>Calibrazione minima OK — Obiettivo: aumentare la precisione delle motivazioni (non solo la risposta) per salire di livello.</t>
        </is>
      </c>
      <c r="S96" s="0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</row>
    <row r="97">
      <c r="A97" s="26" t="n">
        <v>96</v>
      </c>
      <c r="B97" s="27" t="n">
        <v>7.5</v>
      </c>
      <c r="C97" s="27" t="n">
        <v>75</v>
      </c>
      <c r="D97" s="27" t="n">
        <v>100</v>
      </c>
      <c r="E97" s="27" t="n">
        <v>225</v>
      </c>
      <c r="F97" s="27" t="n">
        <v>15</v>
      </c>
      <c r="G97" s="26" t="inlineStr">
        <is>
          <t>Sopra 1</t>
        </is>
      </c>
      <c r="H97" s="27" t="n">
        <v>118.75</v>
      </c>
      <c r="I97" s="28" t="n">
        <v>0.02500000000000002</v>
      </c>
      <c r="J97" s="28" t="n">
        <v>7.525</v>
      </c>
      <c r="K97" s="29" t="inlineStr">
        <is>
          <t>Buona calibrazione (sa e lo sa)</t>
        </is>
      </c>
      <c r="L97" s="29" t="inlineStr">
        <is>
          <t>Buona calibrazione (sa e lo sa) — Consolida: rivedi 2 errori e scrivi la 'regola d'oro' che li evita.</t>
        </is>
      </c>
      <c r="M97" s="29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  <c r="N97" s="28" t="inlineStr">
        <is>
          <t>7.5|Sopra 1</t>
        </is>
      </c>
      <c r="O97" s="0" t="inlineStr">
        <is>
          <t>7.5|Sopra 1</t>
        </is>
      </c>
      <c r="P97" s="0" t="n">
        <v>7.525</v>
      </c>
      <c r="Q97" s="0" t="inlineStr">
        <is>
          <t>Buona calibrazione (sa e lo sa)</t>
        </is>
      </c>
      <c r="R97" s="0" t="inlineStr">
        <is>
          <t>Buona calibrazione (sa e lo sa) — Consolida: rivedi 2 errori e scrivi la 'regola d'oro' che li evita.</t>
        </is>
      </c>
      <c r="S97" s="0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</row>
    <row r="98">
      <c r="A98" s="26" t="n">
        <v>97</v>
      </c>
      <c r="B98" s="27" t="n">
        <v>7.5</v>
      </c>
      <c r="C98" s="27" t="n">
        <v>75</v>
      </c>
      <c r="D98" s="27" t="n">
        <v>100</v>
      </c>
      <c r="E98" s="27" t="n">
        <v>225</v>
      </c>
      <c r="F98" s="27" t="n">
        <v>15</v>
      </c>
      <c r="G98" s="26" t="inlineStr">
        <is>
          <t>Sopra 2</t>
        </is>
      </c>
      <c r="H98" s="27" t="n">
        <v>137.5</v>
      </c>
      <c r="I98" s="28" t="n">
        <v>0.55</v>
      </c>
      <c r="J98" s="28" t="n">
        <v>8.050000000000001</v>
      </c>
      <c r="K98" s="29" t="inlineStr">
        <is>
          <t>Consapevolezza alta (molto ben tarato)</t>
        </is>
      </c>
      <c r="L98" s="29" t="inlineStr">
        <is>
          <t>Consapevolezza alta (molto ben tarato) — Fai un passo in più: spiega a un compagno il criterio (insegnare = super test).</t>
        </is>
      </c>
      <c r="M98" s="29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  <c r="N98" s="28" t="inlineStr">
        <is>
          <t>7.5|Sopra 2</t>
        </is>
      </c>
      <c r="O98" s="0" t="inlineStr">
        <is>
          <t>7.5|Sopra 2</t>
        </is>
      </c>
      <c r="P98" s="0" t="n">
        <v>8.050000000000001</v>
      </c>
      <c r="Q98" s="0" t="inlineStr">
        <is>
          <t>Consapevolezza alta (molto ben tarato)</t>
        </is>
      </c>
      <c r="R98" s="0" t="inlineStr">
        <is>
          <t>Consapevolezza alta (molto ben tarato) — Fai un passo in più: spiega a un compagno il criterio (insegnare = super test).</t>
        </is>
      </c>
      <c r="S98" s="0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</row>
    <row r="99">
      <c r="A99" s="26" t="n">
        <v>98</v>
      </c>
      <c r="B99" s="27" t="n">
        <v>7.5</v>
      </c>
      <c r="C99" s="27" t="n">
        <v>75</v>
      </c>
      <c r="D99" s="27" t="n">
        <v>100</v>
      </c>
      <c r="E99" s="27" t="n">
        <v>225</v>
      </c>
      <c r="F99" s="27" t="n">
        <v>15</v>
      </c>
      <c r="G99" s="26" t="inlineStr">
        <is>
          <t>Retta consapevolezza (y_max)</t>
        </is>
      </c>
      <c r="H99" s="27" t="n">
        <v>225</v>
      </c>
      <c r="I99" s="28" t="n">
        <v>3</v>
      </c>
      <c r="J99" s="28" t="n">
        <v>10</v>
      </c>
      <c r="K99" s="29" t="inlineStr">
        <is>
          <t>Consapevolezza eccellente</t>
        </is>
      </c>
      <c r="L99" s="29" t="inlineStr">
        <is>
          <t>Consapevolezza eccellente — Sfida extra: prova a individuare i casi limite e le eccezioni (rafforza il pensiero critico).</t>
        </is>
      </c>
      <c r="M99" s="29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  <c r="N99" s="28" t="inlineStr">
        <is>
          <t>7.5|Retta consapevolezza (y_max)</t>
        </is>
      </c>
      <c r="O99" s="0" t="inlineStr">
        <is>
          <t>7.5|Retta consapevolezza (y_max)</t>
        </is>
      </c>
      <c r="P99" s="0" t="n">
        <v>10</v>
      </c>
      <c r="Q99" s="0" t="inlineStr">
        <is>
          <t>Consapevolezza eccellente</t>
        </is>
      </c>
      <c r="R99" s="0" t="inlineStr">
        <is>
          <t>Consapevolezza eccellente — Sfida extra: prova a individuare i casi limite e le eccezioni (rafforza il pensiero critico).</t>
        </is>
      </c>
      <c r="S99" s="0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</row>
    <row r="100">
      <c r="A100" s="26" t="n">
        <v>99</v>
      </c>
      <c r="B100" s="27" t="n">
        <v>8</v>
      </c>
      <c r="C100" s="27" t="n">
        <v>80</v>
      </c>
      <c r="D100" s="27" t="n">
        <v>120</v>
      </c>
      <c r="E100" s="27" t="n">
        <v>240</v>
      </c>
      <c r="F100" s="27" t="n">
        <v>20</v>
      </c>
      <c r="G100" s="26" t="inlineStr">
        <is>
          <t>Molto sotto (y_low)</t>
        </is>
      </c>
      <c r="H100" s="27" t="n">
        <v>20</v>
      </c>
      <c r="I100" s="28" t="n">
        <v>-2</v>
      </c>
      <c r="J100" s="28" t="n">
        <v>6</v>
      </c>
      <c r="K100" s="29" t="inlineStr">
        <is>
          <t>Rischio misconcezioni / confidenza fuori bersaglio</t>
        </is>
      </c>
      <c r="L100" s="29" t="inlineStr">
        <is>
          <t>Rischio misconcezioni / confidenza fuori bersaglio — Scegli 3 risposte sbagliate e riscrivile con regola/criterio: se non trovi la regola, la prossima volta confidenza bassa.</t>
        </is>
      </c>
      <c r="M100" s="29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100" s="28" t="inlineStr">
        <is>
          <t>8.0|Molto sotto (y_low)</t>
        </is>
      </c>
      <c r="O100" s="0" t="inlineStr">
        <is>
          <t>8.0|Molto sotto (y_low)</t>
        </is>
      </c>
      <c r="P100" s="0" t="n">
        <v>6</v>
      </c>
      <c r="Q100" s="0" t="inlineStr">
        <is>
          <t>Rischio misconcezioni / confidenza fuori bersaglio</t>
        </is>
      </c>
      <c r="R100" s="0" t="inlineStr">
        <is>
          <t>Rischio misconcezioni / confidenza fuori bersaglio — Scegli 3 risposte sbagliate e riscrivile con regola/criterio: se non trovi la regola, la prossima volta confidenza bassa.</t>
        </is>
      </c>
      <c r="S100" s="0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01">
      <c r="A101" s="26" t="n">
        <v>100</v>
      </c>
      <c r="B101" s="27" t="n">
        <v>8</v>
      </c>
      <c r="C101" s="27" t="n">
        <v>80</v>
      </c>
      <c r="D101" s="27" t="n">
        <v>120</v>
      </c>
      <c r="E101" s="27" t="n">
        <v>240</v>
      </c>
      <c r="F101" s="27" t="n">
        <v>20</v>
      </c>
      <c r="G101" s="26" t="inlineStr">
        <is>
          <t>Sotto 2</t>
        </is>
      </c>
      <c r="H101" s="27" t="n">
        <v>90</v>
      </c>
      <c r="I101" s="28" t="n">
        <v>-0.95</v>
      </c>
      <c r="J101" s="28" t="n">
        <v>7.05</v>
      </c>
      <c r="K101" s="29" t="inlineStr">
        <is>
          <t>Inconsapevolezza marcata (calibrazione scarsa)</t>
        </is>
      </c>
      <c r="L101" s="29" t="inlineStr">
        <is>
          <t>Inconsapevolezza marcata (calibrazione scarsa) — Per ogni domanda: scrivi 1 riga di motivazione. Se non la sai scrivere, confidenza bassa senza vergogna.</t>
        </is>
      </c>
      <c r="M101" s="29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  <c r="N101" s="28" t="inlineStr">
        <is>
          <t>8.0|Sotto 2</t>
        </is>
      </c>
      <c r="O101" s="0" t="inlineStr">
        <is>
          <t>8.0|Sotto 2</t>
        </is>
      </c>
      <c r="P101" s="0" t="n">
        <v>7.05</v>
      </c>
      <c r="Q101" s="0" t="inlineStr">
        <is>
          <t>Inconsapevolezza marcata (calibrazione scarsa)</t>
        </is>
      </c>
      <c r="R101" s="0" t="inlineStr">
        <is>
          <t>Inconsapevolezza marcata (calibrazione scarsa) — Per ogni domanda: scrivi 1 riga di motivazione. Se non la sai scrivere, confidenza bassa senza vergogna.</t>
        </is>
      </c>
      <c r="S101" s="0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02">
      <c r="A102" s="26" t="n">
        <v>101</v>
      </c>
      <c r="B102" s="27" t="n">
        <v>8</v>
      </c>
      <c r="C102" s="27" t="n">
        <v>80</v>
      </c>
      <c r="D102" s="27" t="n">
        <v>120</v>
      </c>
      <c r="E102" s="27" t="n">
        <v>240</v>
      </c>
      <c r="F102" s="27" t="n">
        <v>20</v>
      </c>
      <c r="G102" s="26" t="inlineStr">
        <is>
          <t>Sotto 1</t>
        </is>
      </c>
      <c r="H102" s="27" t="n">
        <v>105</v>
      </c>
      <c r="I102" s="28" t="n">
        <v>-0.725</v>
      </c>
      <c r="J102" s="28" t="n">
        <v>7.275</v>
      </c>
      <c r="K102" s="29" t="inlineStr">
        <is>
          <t>Incertezza / calibrazione da migliorare</t>
        </is>
      </c>
      <c r="L102" s="29" t="inlineStr">
        <is>
          <t>Incertezza / calibrazione da migliorare — Allenati con un controllo: 'posso spiegare in 10 secondi perché?' Se sì alza, se no abbassa la confidenza.</t>
        </is>
      </c>
      <c r="M102" s="29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  <c r="N102" s="28" t="inlineStr">
        <is>
          <t>8.0|Sotto 1</t>
        </is>
      </c>
      <c r="O102" s="0" t="inlineStr">
        <is>
          <t>8.0|Sotto 1</t>
        </is>
      </c>
      <c r="P102" s="0" t="n">
        <v>7.275</v>
      </c>
      <c r="Q102" s="0" t="inlineStr">
        <is>
          <t>Incertezza / calibrazione da migliorare</t>
        </is>
      </c>
      <c r="R102" s="0" t="inlineStr">
        <is>
          <t>Incertezza / calibrazione da migliorare — Allenati con un controllo: 'posso spiegare in 10 secondi perché?' Se sì alza, se no abbassa la confidenza.</t>
        </is>
      </c>
      <c r="S102" s="0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</row>
    <row r="103">
      <c r="A103" s="26" t="n">
        <v>102</v>
      </c>
      <c r="B103" s="27" t="n">
        <v>8</v>
      </c>
      <c r="C103" s="27" t="n">
        <v>80</v>
      </c>
      <c r="D103" s="27" t="n">
        <v>120</v>
      </c>
      <c r="E103" s="27" t="n">
        <v>240</v>
      </c>
      <c r="F103" s="27" t="n">
        <v>20</v>
      </c>
      <c r="G103" s="26" t="inlineStr">
        <is>
          <t>Sulla spezzata (y_min)</t>
        </is>
      </c>
      <c r="H103" s="27" t="n">
        <v>120</v>
      </c>
      <c r="I103" s="28" t="n">
        <v>-0.5</v>
      </c>
      <c r="J103" s="28" t="n">
        <v>7.5</v>
      </c>
      <c r="K103" s="29" t="inlineStr">
        <is>
          <t>Calibrazione minima OK</t>
        </is>
      </c>
      <c r="L103" s="29" t="inlineStr">
        <is>
          <t>Calibrazione minima OK — Obiettivo: aumentare la precisione delle motivazioni (non solo la risposta) per salire di livello.</t>
        </is>
      </c>
      <c r="M103" s="29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  <c r="N103" s="28" t="inlineStr">
        <is>
          <t>8.0|Sulla spezzata (y_min)</t>
        </is>
      </c>
      <c r="O103" s="0" t="inlineStr">
        <is>
          <t>8.0|Sulla spezzata (y_min)</t>
        </is>
      </c>
      <c r="P103" s="0" t="n">
        <v>7.5</v>
      </c>
      <c r="Q103" s="0" t="inlineStr">
        <is>
          <t>Calibrazione minima OK</t>
        </is>
      </c>
      <c r="R103" s="0" t="inlineStr">
        <is>
          <t>Calibrazione minima OK — Obiettivo: aumentare la precisione delle motivazioni (non solo la risposta) per salire di livello.</t>
        </is>
      </c>
      <c r="S103" s="0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</row>
    <row r="104">
      <c r="A104" s="26" t="n">
        <v>103</v>
      </c>
      <c r="B104" s="27" t="n">
        <v>8</v>
      </c>
      <c r="C104" s="27" t="n">
        <v>80</v>
      </c>
      <c r="D104" s="27" t="n">
        <v>120</v>
      </c>
      <c r="E104" s="27" t="n">
        <v>240</v>
      </c>
      <c r="F104" s="27" t="n">
        <v>20</v>
      </c>
      <c r="G104" s="26" t="inlineStr">
        <is>
          <t>Sopra 1</t>
        </is>
      </c>
      <c r="H104" s="27" t="n">
        <v>138</v>
      </c>
      <c r="I104" s="28" t="n">
        <v>0.02500000000000002</v>
      </c>
      <c r="J104" s="28" t="n">
        <v>8.025</v>
      </c>
      <c r="K104" s="29" t="inlineStr">
        <is>
          <t>Buona calibrazione (sa e lo sa)</t>
        </is>
      </c>
      <c r="L104" s="29" t="inlineStr">
        <is>
          <t>Buona calibrazione (sa e lo sa) — Consolida: rivedi 2 errori e scrivi la 'regola d'oro' che li evita.</t>
        </is>
      </c>
      <c r="M104" s="29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  <c r="N104" s="28" t="inlineStr">
        <is>
          <t>8.0|Sopra 1</t>
        </is>
      </c>
      <c r="O104" s="0" t="inlineStr">
        <is>
          <t>8.0|Sopra 1</t>
        </is>
      </c>
      <c r="P104" s="0" t="n">
        <v>8.025</v>
      </c>
      <c r="Q104" s="0" t="inlineStr">
        <is>
          <t>Buona calibrazione (sa e lo sa)</t>
        </is>
      </c>
      <c r="R104" s="0" t="inlineStr">
        <is>
          <t>Buona calibrazione (sa e lo sa) — Consolida: rivedi 2 errori e scrivi la 'regola d'oro' che li evita.</t>
        </is>
      </c>
      <c r="S104" s="0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</row>
    <row r="105">
      <c r="A105" s="26" t="n">
        <v>104</v>
      </c>
      <c r="B105" s="27" t="n">
        <v>8</v>
      </c>
      <c r="C105" s="27" t="n">
        <v>80</v>
      </c>
      <c r="D105" s="27" t="n">
        <v>120</v>
      </c>
      <c r="E105" s="27" t="n">
        <v>240</v>
      </c>
      <c r="F105" s="27" t="n">
        <v>20</v>
      </c>
      <c r="G105" s="26" t="inlineStr">
        <is>
          <t>Sopra 2</t>
        </is>
      </c>
      <c r="H105" s="27" t="n">
        <v>156</v>
      </c>
      <c r="I105" s="28" t="n">
        <v>0.55</v>
      </c>
      <c r="J105" s="28" t="n">
        <v>8.550000000000001</v>
      </c>
      <c r="K105" s="29" t="inlineStr">
        <is>
          <t>Consapevolezza alta (molto ben tarato)</t>
        </is>
      </c>
      <c r="L105" s="29" t="inlineStr">
        <is>
          <t>Consapevolezza alta (molto ben tarato) — Fai un passo in più: spiega a un compagno il criterio (insegnare = super test).</t>
        </is>
      </c>
      <c r="M105" s="29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  <c r="N105" s="28" t="inlineStr">
        <is>
          <t>8.0|Sopra 2</t>
        </is>
      </c>
      <c r="O105" s="0" t="inlineStr">
        <is>
          <t>8.0|Sopra 2</t>
        </is>
      </c>
      <c r="P105" s="0" t="n">
        <v>8.550000000000001</v>
      </c>
      <c r="Q105" s="0" t="inlineStr">
        <is>
          <t>Consapevolezza alta (molto ben tarato)</t>
        </is>
      </c>
      <c r="R105" s="0" t="inlineStr">
        <is>
          <t>Consapevolezza alta (molto ben tarato) — Fai un passo in più: spiega a un compagno il criterio (insegnare = super test).</t>
        </is>
      </c>
      <c r="S105" s="0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</row>
    <row r="106">
      <c r="A106" s="26" t="n">
        <v>105</v>
      </c>
      <c r="B106" s="27" t="n">
        <v>8</v>
      </c>
      <c r="C106" s="27" t="n">
        <v>80</v>
      </c>
      <c r="D106" s="27" t="n">
        <v>120</v>
      </c>
      <c r="E106" s="27" t="n">
        <v>240</v>
      </c>
      <c r="F106" s="27" t="n">
        <v>20</v>
      </c>
      <c r="G106" s="26" t="inlineStr">
        <is>
          <t>Retta consapevolezza (y_max)</t>
        </is>
      </c>
      <c r="H106" s="27" t="n">
        <v>240</v>
      </c>
      <c r="I106" s="28" t="n">
        <v>3</v>
      </c>
      <c r="J106" s="28" t="n">
        <v>10</v>
      </c>
      <c r="K106" s="29" t="inlineStr">
        <is>
          <t>Consapevolezza eccellente</t>
        </is>
      </c>
      <c r="L106" s="29" t="inlineStr">
        <is>
          <t>Consapevolezza eccellente — Sfida extra: prova a individuare i casi limite e le eccezioni (rafforza il pensiero critico).</t>
        </is>
      </c>
      <c r="M106" s="29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  <c r="N106" s="28" t="inlineStr">
        <is>
          <t>8.0|Retta consapevolezza (y_max)</t>
        </is>
      </c>
      <c r="O106" s="0" t="inlineStr">
        <is>
          <t>8.0|Retta consapevolezza (y_max)</t>
        </is>
      </c>
      <c r="P106" s="0" t="n">
        <v>10</v>
      </c>
      <c r="Q106" s="0" t="inlineStr">
        <is>
          <t>Consapevolezza eccellente</t>
        </is>
      </c>
      <c r="R106" s="0" t="inlineStr">
        <is>
          <t>Consapevolezza eccellente — Sfida extra: prova a individuare i casi limite e le eccezioni (rafforza il pensiero critico).</t>
        </is>
      </c>
      <c r="S106" s="0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</row>
    <row r="107">
      <c r="A107" s="26" t="n">
        <v>106</v>
      </c>
      <c r="B107" s="27" t="n">
        <v>8.5</v>
      </c>
      <c r="C107" s="27" t="n">
        <v>85</v>
      </c>
      <c r="D107" s="27" t="n">
        <v>165</v>
      </c>
      <c r="E107" s="27" t="n">
        <v>255</v>
      </c>
      <c r="F107" s="27" t="n">
        <v>25</v>
      </c>
      <c r="G107" s="26" t="inlineStr">
        <is>
          <t>Molto sotto (y_low)</t>
        </is>
      </c>
      <c r="H107" s="27" t="n">
        <v>25</v>
      </c>
      <c r="I107" s="28" t="n">
        <v>-2</v>
      </c>
      <c r="J107" s="28" t="n">
        <v>6.5</v>
      </c>
      <c r="K107" s="29" t="inlineStr">
        <is>
          <t>Rischio misconcezioni / confidenza fuori bersaglio</t>
        </is>
      </c>
      <c r="L107" s="29" t="inlineStr">
        <is>
          <t>Rischio misconcezioni / confidenza fuori bersaglio — Scegli 3 risposte sbagliate e riscrivile con regola/criterio: se non trovi la regola, la prossima volta confidenza bassa.</t>
        </is>
      </c>
      <c r="M107" s="29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107" s="28" t="inlineStr">
        <is>
          <t>8.5|Molto sotto (y_low)</t>
        </is>
      </c>
      <c r="O107" s="0" t="inlineStr">
        <is>
          <t>8.5|Molto sotto (y_low)</t>
        </is>
      </c>
      <c r="P107" s="0" t="n">
        <v>6.5</v>
      </c>
      <c r="Q107" s="0" t="inlineStr">
        <is>
          <t>Rischio misconcezioni / confidenza fuori bersaglio</t>
        </is>
      </c>
      <c r="R107" s="0" t="inlineStr">
        <is>
          <t>Rischio misconcezioni / confidenza fuori bersaglio — Scegli 3 risposte sbagliate e riscrivile con regola/criterio: se non trovi la regola, la prossima volta confidenza bassa.</t>
        </is>
      </c>
      <c r="S107" s="0" t="inlineStr">
        <is>
          <t>Buona competenza: puoi lavorare di fino sulla qualità delle spiegazioni.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08">
      <c r="A108" s="26" t="n">
        <v>107</v>
      </c>
      <c r="B108" s="27" t="n">
        <v>8.5</v>
      </c>
      <c r="C108" s="27" t="n">
        <v>85</v>
      </c>
      <c r="D108" s="27" t="n">
        <v>165</v>
      </c>
      <c r="E108" s="27" t="n">
        <v>255</v>
      </c>
      <c r="F108" s="27" t="n">
        <v>25</v>
      </c>
      <c r="G108" s="26" t="inlineStr">
        <is>
          <t>Sotto 2</t>
        </is>
      </c>
      <c r="H108" s="27" t="n">
        <v>123</v>
      </c>
      <c r="I108" s="28" t="n">
        <v>-0.95</v>
      </c>
      <c r="J108" s="28" t="n">
        <v>7.55</v>
      </c>
      <c r="K108" s="29" t="inlineStr">
        <is>
          <t>Inconsapevolezza marcata (calibrazione scarsa)</t>
        </is>
      </c>
      <c r="L108" s="29" t="inlineStr">
        <is>
          <t>Inconsapevolezza marcata (calibrazione scarsa) — Per ogni domanda: scrivi 1 riga di motivazione. Se non la sai scrivere, confidenza bassa senza vergogna.</t>
        </is>
      </c>
      <c r="M108" s="29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  <c r="N108" s="28" t="inlineStr">
        <is>
          <t>8.5|Sotto 2</t>
        </is>
      </c>
      <c r="O108" s="0" t="inlineStr">
        <is>
          <t>8.5|Sotto 2</t>
        </is>
      </c>
      <c r="P108" s="0" t="n">
        <v>7.55</v>
      </c>
      <c r="Q108" s="0" t="inlineStr">
        <is>
          <t>Inconsapevolezza marcata (calibrazione scarsa)</t>
        </is>
      </c>
      <c r="R108" s="0" t="inlineStr">
        <is>
          <t>Inconsapevolezza marcata (calibrazione scarsa) — Per ogni domanda: scrivi 1 riga di motivazione. Se non la sai scrivere, confidenza bassa senza vergogna.</t>
        </is>
      </c>
      <c r="S108" s="0" t="inlineStr">
        <is>
          <t>Buona competenza: puoi lavorare di fino sulla qualità delle spiegazioni.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09">
      <c r="A109" s="26" t="n">
        <v>108</v>
      </c>
      <c r="B109" s="27" t="n">
        <v>8.5</v>
      </c>
      <c r="C109" s="27" t="n">
        <v>85</v>
      </c>
      <c r="D109" s="27" t="n">
        <v>165</v>
      </c>
      <c r="E109" s="27" t="n">
        <v>255</v>
      </c>
      <c r="F109" s="27" t="n">
        <v>25</v>
      </c>
      <c r="G109" s="26" t="inlineStr">
        <is>
          <t>Sotto 1</t>
        </is>
      </c>
      <c r="H109" s="27" t="n">
        <v>144</v>
      </c>
      <c r="I109" s="28" t="n">
        <v>-0.725</v>
      </c>
      <c r="J109" s="28" t="n">
        <v>7.775</v>
      </c>
      <c r="K109" s="29" t="inlineStr">
        <is>
          <t>Incertezza / calibrazione da migliorare</t>
        </is>
      </c>
      <c r="L109" s="29" t="inlineStr">
        <is>
          <t>Incertezza / calibrazione da migliorare — Allenati con un controllo: 'posso spiegare in 10 secondi perché?' Se sì alza, se no abbassa la confidenza.</t>
        </is>
      </c>
      <c r="M109" s="29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  <c r="N109" s="28" t="inlineStr">
        <is>
          <t>8.5|Sotto 1</t>
        </is>
      </c>
      <c r="O109" s="0" t="inlineStr">
        <is>
          <t>8.5|Sotto 1</t>
        </is>
      </c>
      <c r="P109" s="0" t="n">
        <v>7.775</v>
      </c>
      <c r="Q109" s="0" t="inlineStr">
        <is>
          <t>Incertezza / calibrazione da migliorare</t>
        </is>
      </c>
      <c r="R109" s="0" t="inlineStr">
        <is>
          <t>Incertezza / calibrazione da migliorare — Allenati con un controllo: 'posso spiegare in 10 secondi perché?' Se sì alza, se no abbassa la confidenza.</t>
        </is>
      </c>
      <c r="S109" s="0" t="inlineStr">
        <is>
          <t>Buona competenza: puoi lavorare di fino sulla qualità delle spiegazioni. Sei vicino alla calibrazione, ma c'è ancora rumore: a volte ti fidi troppo o troppo poco. Consiglio pratico: Allenati con un controllo: 'posso spiegare in 10 secondi perché?' Se sì alza, se no abbassa la confidenza.</t>
        </is>
      </c>
    </row>
    <row r="110">
      <c r="A110" s="26" t="n">
        <v>109</v>
      </c>
      <c r="B110" s="27" t="n">
        <v>8.5</v>
      </c>
      <c r="C110" s="27" t="n">
        <v>85</v>
      </c>
      <c r="D110" s="27" t="n">
        <v>165</v>
      </c>
      <c r="E110" s="27" t="n">
        <v>255</v>
      </c>
      <c r="F110" s="27" t="n">
        <v>25</v>
      </c>
      <c r="G110" s="26" t="inlineStr">
        <is>
          <t>Sulla spezzata (y_min)</t>
        </is>
      </c>
      <c r="H110" s="27" t="n">
        <v>165</v>
      </c>
      <c r="I110" s="28" t="n">
        <v>-0.5</v>
      </c>
      <c r="J110" s="28" t="n">
        <v>8</v>
      </c>
      <c r="K110" s="29" t="inlineStr">
        <is>
          <t>Calibrazione minima OK</t>
        </is>
      </c>
      <c r="L110" s="29" t="inlineStr">
        <is>
          <t>Calibrazione minima OK — Obiettivo: aumentare la precisione delle motivazioni (non solo la risposta) per salire di livello.</t>
        </is>
      </c>
      <c r="M110" s="29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  <c r="N110" s="28" t="inlineStr">
        <is>
          <t>8.5|Sulla spezzata (y_min)</t>
        </is>
      </c>
      <c r="O110" s="0" t="inlineStr">
        <is>
          <t>8.5|Sulla spezzata (y_min)</t>
        </is>
      </c>
      <c r="P110" s="0" t="n">
        <v>8</v>
      </c>
      <c r="Q110" s="0" t="inlineStr">
        <is>
          <t>Calibrazione minima OK</t>
        </is>
      </c>
      <c r="R110" s="0" t="inlineStr">
        <is>
          <t>Calibrazione minima OK — Obiettivo: aumentare la precisione delle motivazioni (non solo la risposta) per salire di livello.</t>
        </is>
      </c>
      <c r="S110" s="0" t="inlineStr">
        <is>
          <t>Buona competenza: puoi lavorare di fino sulla qualità delle spiegazioni. Sei sul livello minimo di coerenza: la confidenza è generalmente ragionevole. Consiglio pratico: Obiettivo: aumentare la precisione delle motivazioni (non solo la risposta) per salire di livello.</t>
        </is>
      </c>
    </row>
    <row r="111">
      <c r="A111" s="26" t="n">
        <v>110</v>
      </c>
      <c r="B111" s="27" t="n">
        <v>8.5</v>
      </c>
      <c r="C111" s="27" t="n">
        <v>85</v>
      </c>
      <c r="D111" s="27" t="n">
        <v>165</v>
      </c>
      <c r="E111" s="27" t="n">
        <v>255</v>
      </c>
      <c r="F111" s="27" t="n">
        <v>25</v>
      </c>
      <c r="G111" s="26" t="inlineStr">
        <is>
          <t>Sopra 1</t>
        </is>
      </c>
      <c r="H111" s="27" t="n">
        <v>178.5</v>
      </c>
      <c r="I111" s="28" t="n">
        <v>0.02500000000000002</v>
      </c>
      <c r="J111" s="28" t="n">
        <v>8.525</v>
      </c>
      <c r="K111" s="29" t="inlineStr">
        <is>
          <t>Buona calibrazione (sa e lo sa)</t>
        </is>
      </c>
      <c r="L111" s="29" t="inlineStr">
        <is>
          <t>Buona calibrazione (sa e lo sa) — Consolida: rivedi 2 errori e scrivi la 'regola d'oro' che li evita.</t>
        </is>
      </c>
      <c r="M111" s="29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  <c r="N111" s="28" t="inlineStr">
        <is>
          <t>8.5|Sopra 1</t>
        </is>
      </c>
      <c r="O111" s="0" t="inlineStr">
        <is>
          <t>8.5|Sopra 1</t>
        </is>
      </c>
      <c r="P111" s="0" t="n">
        <v>8.525</v>
      </c>
      <c r="Q111" s="0" t="inlineStr">
        <is>
          <t>Buona calibrazione (sa e lo sa)</t>
        </is>
      </c>
      <c r="R111" s="0" t="inlineStr">
        <is>
          <t>Buona calibrazione (sa e lo sa) — Consolida: rivedi 2 errori e scrivi la 'regola d'oro' che li evita.</t>
        </is>
      </c>
      <c r="S111" s="0" t="inlineStr">
        <is>
          <t>Buona competenza: puoi lavorare di fino sulla qualità delle spiegazioni. Buona corrispondenza tra ciò che sai e quanto ti fidi: la tua consapevolezza aiuta a studiare meglio. Consiglio pratico: Consolida: rivedi 2 errori e scrivi la 'regola d'oro' che li evita.</t>
        </is>
      </c>
    </row>
    <row r="112">
      <c r="A112" s="26" t="n">
        <v>111</v>
      </c>
      <c r="B112" s="27" t="n">
        <v>8.5</v>
      </c>
      <c r="C112" s="27" t="n">
        <v>85</v>
      </c>
      <c r="D112" s="27" t="n">
        <v>165</v>
      </c>
      <c r="E112" s="27" t="n">
        <v>255</v>
      </c>
      <c r="F112" s="27" t="n">
        <v>25</v>
      </c>
      <c r="G112" s="26" t="inlineStr">
        <is>
          <t>Sopra 2</t>
        </is>
      </c>
      <c r="H112" s="27" t="n">
        <v>192</v>
      </c>
      <c r="I112" s="28" t="n">
        <v>0.55</v>
      </c>
      <c r="J112" s="28" t="n">
        <v>9.050000000000001</v>
      </c>
      <c r="K112" s="29" t="inlineStr">
        <is>
          <t>Consapevolezza alta (molto ben tarato)</t>
        </is>
      </c>
      <c r="L112" s="29" t="inlineStr">
        <is>
          <t>Consapevolezza alta (molto ben tarato) — Fai un passo in più: spiega a un compagno il criterio (insegnare = super test).</t>
        </is>
      </c>
      <c r="M112" s="29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  <c r="N112" s="28" t="inlineStr">
        <is>
          <t>8.5|Sopra 2</t>
        </is>
      </c>
      <c r="O112" s="0" t="inlineStr">
        <is>
          <t>8.5|Sopra 2</t>
        </is>
      </c>
      <c r="P112" s="0" t="n">
        <v>9.050000000000001</v>
      </c>
      <c r="Q112" s="0" t="inlineStr">
        <is>
          <t>Consapevolezza alta (molto ben tarato)</t>
        </is>
      </c>
      <c r="R112" s="0" t="inlineStr">
        <is>
          <t>Consapevolezza alta (molto ben tarato) — Fai un passo in più: spiega a un compagno il criterio (insegnare = super test).</t>
        </is>
      </c>
      <c r="S112" s="0" t="inlineStr">
        <is>
          <t>Buona competenza: puoi lavorare di fino sulla qualità delle spiegazioni. Ottima taratura: quando sei sicuro, di solito sei anche corretto. Consiglio pratico: Fai un passo in più: spiega a un compagno il criterio (insegnare = super test).</t>
        </is>
      </c>
    </row>
    <row r="113">
      <c r="A113" s="26" t="n">
        <v>112</v>
      </c>
      <c r="B113" s="27" t="n">
        <v>8.5</v>
      </c>
      <c r="C113" s="27" t="n">
        <v>85</v>
      </c>
      <c r="D113" s="27" t="n">
        <v>165</v>
      </c>
      <c r="E113" s="27" t="n">
        <v>255</v>
      </c>
      <c r="F113" s="27" t="n">
        <v>25</v>
      </c>
      <c r="G113" s="26" t="inlineStr">
        <is>
          <t>Retta consapevolezza (y_max)</t>
        </is>
      </c>
      <c r="H113" s="27" t="n">
        <v>255</v>
      </c>
      <c r="I113" s="28" t="n">
        <v>3</v>
      </c>
      <c r="J113" s="28" t="n">
        <v>10</v>
      </c>
      <c r="K113" s="29" t="inlineStr">
        <is>
          <t>Consapevolezza eccellente</t>
        </is>
      </c>
      <c r="L113" s="29" t="inlineStr">
        <is>
          <t>Consapevolezza eccellente — Sfida extra: prova a individuare i casi limite e le eccezioni (rafforza il pensiero critico).</t>
        </is>
      </c>
      <c r="M113" s="29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  <c r="N113" s="28" t="inlineStr">
        <is>
          <t>8.5|Retta consapevolezza (y_max)</t>
        </is>
      </c>
      <c r="O113" s="0" t="inlineStr">
        <is>
          <t>8.5|Retta consapevolezza (y_max)</t>
        </is>
      </c>
      <c r="P113" s="0" t="n">
        <v>10</v>
      </c>
      <c r="Q113" s="0" t="inlineStr">
        <is>
          <t>Consapevolezza eccellente</t>
        </is>
      </c>
      <c r="R113" s="0" t="inlineStr">
        <is>
          <t>Consapevolezza eccellente — Sfida extra: prova a individuare i casi limite e le eccezioni (rafforza il pensiero critico).</t>
        </is>
      </c>
      <c r="S113" s="0" t="inlineStr">
        <is>
          <t>Buona competenza: puoi lavorare di fino sulla qualità delle spiegazioni. Prestazione e consapevolezza vanno insieme: sei molto affidabile nelle tue scelte. Consiglio pratico: Sfida extra: prova a individuare i casi limite e le eccezioni (rafforza il pensiero critico).</t>
        </is>
      </c>
    </row>
    <row r="114">
      <c r="A114" s="26" t="n">
        <v>113</v>
      </c>
      <c r="B114" s="27" t="n">
        <v>9</v>
      </c>
      <c r="C114" s="27" t="n">
        <v>90</v>
      </c>
      <c r="D114" s="27" t="n">
        <v>210</v>
      </c>
      <c r="E114" s="27" t="n">
        <v>270</v>
      </c>
      <c r="F114" s="27" t="n">
        <v>30</v>
      </c>
      <c r="G114" s="26" t="inlineStr">
        <is>
          <t>Molto sotto (y_low)</t>
        </is>
      </c>
      <c r="H114" s="27" t="n">
        <v>30</v>
      </c>
      <c r="I114" s="28" t="n">
        <v>-2</v>
      </c>
      <c r="J114" s="28" t="n">
        <v>7</v>
      </c>
      <c r="K114" s="29" t="inlineStr">
        <is>
          <t>Rischio misconcezioni / confidenza fuori bersaglio</t>
        </is>
      </c>
      <c r="L114" s="29" t="inlineStr">
        <is>
          <t>Rischio misconcezioni / confidenza fuori bersaglio — Scegli 3 risposte sbagliate e riscrivile con regola/criterio: se non trovi la regola, la prossima volta confidenza bassa.</t>
        </is>
      </c>
      <c r="M114" s="29" t="inlineStr">
        <is>
          <t>Competenza molto alta: puntiamo alla solidità e ai casi limite.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114" s="28" t="inlineStr">
        <is>
          <t>9.0|Molto sotto (y_low)</t>
        </is>
      </c>
      <c r="O114" s="0" t="inlineStr">
        <is>
          <t>9.0|Molto sotto (y_low)</t>
        </is>
      </c>
      <c r="P114" s="0" t="n">
        <v>7</v>
      </c>
      <c r="Q114" s="0" t="inlineStr">
        <is>
          <t>Rischio misconcezioni / confidenza fuori bersaglio</t>
        </is>
      </c>
      <c r="R114" s="0" t="inlineStr">
        <is>
          <t>Rischio misconcezioni / confidenza fuori bersaglio — Scegli 3 risposte sbagliate e riscrivile con regola/criterio: se non trovi la regola, la prossima volta confidenza bassa.</t>
        </is>
      </c>
      <c r="S114" s="0" t="inlineStr">
        <is>
          <t>Competenza molto alta: puntiamo alla solidità e ai casi limite.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15">
      <c r="A115" s="26" t="n">
        <v>114</v>
      </c>
      <c r="B115" s="27" t="n">
        <v>9</v>
      </c>
      <c r="C115" s="27" t="n">
        <v>90</v>
      </c>
      <c r="D115" s="27" t="n">
        <v>210</v>
      </c>
      <c r="E115" s="27" t="n">
        <v>270</v>
      </c>
      <c r="F115" s="27" t="n">
        <v>30</v>
      </c>
      <c r="G115" s="26" t="inlineStr">
        <is>
          <t>Sotto 2</t>
        </is>
      </c>
      <c r="H115" s="27" t="n">
        <v>156</v>
      </c>
      <c r="I115" s="28" t="n">
        <v>-0.95</v>
      </c>
      <c r="J115" s="28" t="n">
        <v>8.050000000000001</v>
      </c>
      <c r="K115" s="29" t="inlineStr">
        <is>
          <t>Inconsapevolezza marcata (calibrazione scarsa)</t>
        </is>
      </c>
      <c r="L115" s="29" t="inlineStr">
        <is>
          <t>Inconsapevolezza marcata (calibrazione scarsa) — Per ogni domanda: scrivi 1 riga di motivazione. Se non la sai scrivere, confidenza bassa senza vergogna.</t>
        </is>
      </c>
      <c r="M115" s="29" t="inlineStr">
        <is>
          <t>Competenza molto alta: puntiamo alla solidità e ai casi limite. Le risposte corrette non sono ancora distinguibili da quelle incerte: serve allenare il 'so / non so'. Consiglio pratico: Per ogni domanda: scrivi 1 riga di motivazione. Se non la sai scrivere, confidenza bassa senza vergogna.</t>
        </is>
      </c>
      <c r="N115" s="28" t="inlineStr">
        <is>
          <t>9.0|Sotto 2</t>
        </is>
      </c>
      <c r="O115" s="0" t="inlineStr">
        <is>
          <t>9.0|Sotto 2</t>
        </is>
      </c>
      <c r="P115" s="0" t="n">
        <v>8.050000000000001</v>
      </c>
      <c r="Q115" s="0" t="inlineStr">
        <is>
          <t>Inconsapevolezza marcata (calibrazione scarsa)</t>
        </is>
      </c>
      <c r="R115" s="0" t="inlineStr">
        <is>
          <t>Inconsapevolezza marcata (calibrazione scarsa) — Per ogni domanda: scrivi 1 riga di motivazione. Se non la sai scrivere, confidenza bassa senza vergogna.</t>
        </is>
      </c>
      <c r="S115" s="0" t="inlineStr">
        <is>
          <t>Competenza molto alta: puntiamo alla solidità e ai casi limite.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16">
      <c r="A116" s="26" t="n">
        <v>115</v>
      </c>
      <c r="B116" s="27" t="n">
        <v>9</v>
      </c>
      <c r="C116" s="27" t="n">
        <v>90</v>
      </c>
      <c r="D116" s="27" t="n">
        <v>210</v>
      </c>
      <c r="E116" s="27" t="n">
        <v>270</v>
      </c>
      <c r="F116" s="27" t="n">
        <v>30</v>
      </c>
      <c r="G116" s="26" t="inlineStr">
        <is>
          <t>Sotto 1</t>
        </is>
      </c>
      <c r="H116" s="27" t="n">
        <v>183</v>
      </c>
      <c r="I116" s="28" t="n">
        <v>-0.725</v>
      </c>
      <c r="J116" s="28" t="n">
        <v>8.275</v>
      </c>
      <c r="K116" s="29" t="inlineStr">
        <is>
          <t>Incertezza / calibrazione da migliorare</t>
        </is>
      </c>
      <c r="L116" s="29" t="inlineStr">
        <is>
          <t>Incertezza / calibrazione da migliorare — Allenati con un controllo: 'posso spiegare in 10 secondi perché?' Se sì alza, se no abbassa la confidenza.</t>
        </is>
      </c>
      <c r="M116" s="29" t="inlineStr">
        <is>
          <t>Competenza molto alta: puntiamo alla solidità e ai casi limite. Sei vicino alla calibrazione, ma c'è ancora rumore: a volte ti fidi troppo o troppo poco. Consiglio pratico: Allenati con un controllo: 'posso spiegare in 10 secondi perché?' Se sì alza, se no abbassa la confidenza.</t>
        </is>
      </c>
      <c r="N116" s="28" t="inlineStr">
        <is>
          <t>9.0|Sotto 1</t>
        </is>
      </c>
      <c r="O116" s="0" t="inlineStr">
        <is>
          <t>9.0|Sotto 1</t>
        </is>
      </c>
      <c r="P116" s="0" t="n">
        <v>8.275</v>
      </c>
      <c r="Q116" s="0" t="inlineStr">
        <is>
          <t>Incertezza / calibrazione da migliorare</t>
        </is>
      </c>
      <c r="R116" s="0" t="inlineStr">
        <is>
          <t>Incertezza / calibrazione da migliorare — Allenati con un controllo: 'posso spiegare in 10 secondi perché?' Se sì alza, se no abbassa la confidenza.</t>
        </is>
      </c>
      <c r="S116" s="0" t="inlineStr">
        <is>
          <t>Competenza molto alta: puntiamo alla solidità e ai casi limite. Sei vicino alla calibrazione, ma c'è ancora rumore: a volte ti fidi troppo o troppo poco. Consiglio pratico: Allenati con un controllo: 'posso spiegare in 10 secondi perché?' Se sì alza, se no abbassa la confidenza.</t>
        </is>
      </c>
    </row>
    <row r="117">
      <c r="A117" s="26" t="n">
        <v>116</v>
      </c>
      <c r="B117" s="27" t="n">
        <v>9</v>
      </c>
      <c r="C117" s="27" t="n">
        <v>90</v>
      </c>
      <c r="D117" s="27" t="n">
        <v>210</v>
      </c>
      <c r="E117" s="27" t="n">
        <v>270</v>
      </c>
      <c r="F117" s="27" t="n">
        <v>30</v>
      </c>
      <c r="G117" s="26" t="inlineStr">
        <is>
          <t>Sulla spezzata (y_min)</t>
        </is>
      </c>
      <c r="H117" s="27" t="n">
        <v>210</v>
      </c>
      <c r="I117" s="28" t="n">
        <v>-0.5</v>
      </c>
      <c r="J117" s="28" t="n">
        <v>8.5</v>
      </c>
      <c r="K117" s="29" t="inlineStr">
        <is>
          <t>Calibrazione minima OK</t>
        </is>
      </c>
      <c r="L117" s="29" t="inlineStr">
        <is>
          <t>Calibrazione minima OK — Obiettivo: aumentare la precisione delle motivazioni (non solo la risposta) per salire di livello.</t>
        </is>
      </c>
      <c r="M117" s="29" t="inlineStr">
        <is>
          <t>Competenza molto alta: puntiamo alla solidità e ai casi limite. Sei sul livello minimo di coerenza: la confidenza è generalmente ragionevole. Consiglio pratico: Obiettivo: aumentare la precisione delle motivazioni (non solo la risposta) per salire di livello.</t>
        </is>
      </c>
      <c r="N117" s="28" t="inlineStr">
        <is>
          <t>9.0|Sulla spezzata (y_min)</t>
        </is>
      </c>
      <c r="O117" s="0" t="inlineStr">
        <is>
          <t>9.0|Sulla spezzata (y_min)</t>
        </is>
      </c>
      <c r="P117" s="0" t="n">
        <v>8.5</v>
      </c>
      <c r="Q117" s="0" t="inlineStr">
        <is>
          <t>Calibrazione minima OK</t>
        </is>
      </c>
      <c r="R117" s="0" t="inlineStr">
        <is>
          <t>Calibrazione minima OK — Obiettivo: aumentare la precisione delle motivazioni (non solo la risposta) per salire di livello.</t>
        </is>
      </c>
      <c r="S117" s="0" t="inlineStr">
        <is>
          <t>Competenza molto alta: puntiamo alla solidità e ai casi limite. Sei sul livello minimo di coerenza: la confidenza è generalmente ragionevole. Consiglio pratico: Obiettivo: aumentare la precisione delle motivazioni (non solo la risposta) per salire di livello.</t>
        </is>
      </c>
    </row>
    <row r="118">
      <c r="A118" s="26" t="n">
        <v>117</v>
      </c>
      <c r="B118" s="27" t="n">
        <v>9</v>
      </c>
      <c r="C118" s="27" t="n">
        <v>90</v>
      </c>
      <c r="D118" s="27" t="n">
        <v>210</v>
      </c>
      <c r="E118" s="27" t="n">
        <v>270</v>
      </c>
      <c r="F118" s="27" t="n">
        <v>30</v>
      </c>
      <c r="G118" s="26" t="inlineStr">
        <is>
          <t>Sopra 1</t>
        </is>
      </c>
      <c r="H118" s="27" t="n">
        <v>219</v>
      </c>
      <c r="I118" s="28" t="n">
        <v>0.02500000000000002</v>
      </c>
      <c r="J118" s="28" t="n">
        <v>9.025</v>
      </c>
      <c r="K118" s="29" t="inlineStr">
        <is>
          <t>Buona calibrazione (sa e lo sa)</t>
        </is>
      </c>
      <c r="L118" s="29" t="inlineStr">
        <is>
          <t>Buona calibrazione (sa e lo sa) — Consolida: rivedi 2 errori e scrivi la 'regola d'oro' che li evita.</t>
        </is>
      </c>
      <c r="M118" s="29" t="inlineStr">
        <is>
          <t>Competenza molto alta: puntiamo alla solidità e ai casi limite. Buona corrispondenza tra ciò che sai e quanto ti fidi: la tua consapevolezza aiuta a studiare meglio. Consiglio pratico: Consolida: rivedi 2 errori e scrivi la 'regola d'oro' che li evita.</t>
        </is>
      </c>
      <c r="N118" s="28" t="inlineStr">
        <is>
          <t>9.0|Sopra 1</t>
        </is>
      </c>
      <c r="O118" s="0" t="inlineStr">
        <is>
          <t>9.0|Sopra 1</t>
        </is>
      </c>
      <c r="P118" s="0" t="n">
        <v>9.025</v>
      </c>
      <c r="Q118" s="0" t="inlineStr">
        <is>
          <t>Buona calibrazione (sa e lo sa)</t>
        </is>
      </c>
      <c r="R118" s="0" t="inlineStr">
        <is>
          <t>Buona calibrazione (sa e lo sa) — Consolida: rivedi 2 errori e scrivi la 'regola d'oro' che li evita.</t>
        </is>
      </c>
      <c r="S118" s="0" t="inlineStr">
        <is>
          <t>Competenza molto alta: puntiamo alla solidità e ai casi limite. Buona corrispondenza tra ciò che sai e quanto ti fidi: la tua consapevolezza aiuta a studiare meglio. Consiglio pratico: Consolida: rivedi 2 errori e scrivi la 'regola d'oro' che li evita.</t>
        </is>
      </c>
    </row>
    <row r="119">
      <c r="A119" s="26" t="n">
        <v>118</v>
      </c>
      <c r="B119" s="27" t="n">
        <v>9</v>
      </c>
      <c r="C119" s="27" t="n">
        <v>90</v>
      </c>
      <c r="D119" s="27" t="n">
        <v>210</v>
      </c>
      <c r="E119" s="27" t="n">
        <v>270</v>
      </c>
      <c r="F119" s="27" t="n">
        <v>30</v>
      </c>
      <c r="G119" s="26" t="inlineStr">
        <is>
          <t>Sopra 2</t>
        </is>
      </c>
      <c r="H119" s="27" t="n">
        <v>228</v>
      </c>
      <c r="I119" s="28" t="n">
        <v>0.55</v>
      </c>
      <c r="J119" s="28" t="n">
        <v>9.550000000000001</v>
      </c>
      <c r="K119" s="29" t="inlineStr">
        <is>
          <t>Consapevolezza alta (molto ben tarato)</t>
        </is>
      </c>
      <c r="L119" s="29" t="inlineStr">
        <is>
          <t>Consapevolezza alta (molto ben tarato) — Fai un passo in più: spiega a un compagno il criterio (insegnare = super test).</t>
        </is>
      </c>
      <c r="M119" s="29" t="inlineStr">
        <is>
          <t>Competenza molto alta: puntiamo alla solidità e ai casi limite. Ottima taratura: quando sei sicuro, di solito sei anche corretto. Consiglio pratico: Fai un passo in più: spiega a un compagno il criterio (insegnare = super test).</t>
        </is>
      </c>
      <c r="N119" s="28" t="inlineStr">
        <is>
          <t>9.0|Sopra 2</t>
        </is>
      </c>
      <c r="O119" s="0" t="inlineStr">
        <is>
          <t>9.0|Sopra 2</t>
        </is>
      </c>
      <c r="P119" s="0" t="n">
        <v>9.550000000000001</v>
      </c>
      <c r="Q119" s="0" t="inlineStr">
        <is>
          <t>Consapevolezza alta (molto ben tarato)</t>
        </is>
      </c>
      <c r="R119" s="0" t="inlineStr">
        <is>
          <t>Consapevolezza alta (molto ben tarato) — Fai un passo in più: spiega a un compagno il criterio (insegnare = super test).</t>
        </is>
      </c>
      <c r="S119" s="0" t="inlineStr">
        <is>
          <t>Competenza molto alta: puntiamo alla solidità e ai casi limite. Ottima taratura: quando sei sicuro, di solito sei anche corretto. Consiglio pratico: Fai un passo in più: spiega a un compagno il criterio (insegnare = super test).</t>
        </is>
      </c>
    </row>
    <row r="120">
      <c r="A120" s="26" t="n">
        <v>119</v>
      </c>
      <c r="B120" s="27" t="n">
        <v>9</v>
      </c>
      <c r="C120" s="27" t="n">
        <v>90</v>
      </c>
      <c r="D120" s="27" t="n">
        <v>210</v>
      </c>
      <c r="E120" s="27" t="n">
        <v>270</v>
      </c>
      <c r="F120" s="27" t="n">
        <v>30</v>
      </c>
      <c r="G120" s="26" t="inlineStr">
        <is>
          <t>Retta consapevolezza (y_max)</t>
        </is>
      </c>
      <c r="H120" s="27" t="n">
        <v>270</v>
      </c>
      <c r="I120" s="28" t="n">
        <v>3</v>
      </c>
      <c r="J120" s="28" t="n">
        <v>10</v>
      </c>
      <c r="K120" s="29" t="inlineStr">
        <is>
          <t>Consapevolezza eccellente</t>
        </is>
      </c>
      <c r="L120" s="29" t="inlineStr">
        <is>
          <t>Consapevolezza eccellente — Sfida extra: prova a individuare i casi limite e le eccezioni (rafforza il pensiero critico).</t>
        </is>
      </c>
      <c r="M120" s="29" t="inlineStr">
        <is>
          <t>Competenza molto alta: puntiamo alla solidità e ai casi limite. Prestazione e consapevolezza vanno insieme: sei molto affidabile nelle tue scelte. Consiglio pratico: Sfida extra: prova a individuare i casi limite e le eccezioni (rafforza il pensiero critico).</t>
        </is>
      </c>
      <c r="N120" s="28" t="inlineStr">
        <is>
          <t>9.0|Retta consapevolezza (y_max)</t>
        </is>
      </c>
      <c r="O120" s="0" t="inlineStr">
        <is>
          <t>9.0|Retta consapevolezza (y_max)</t>
        </is>
      </c>
      <c r="P120" s="0" t="n">
        <v>10</v>
      </c>
      <c r="Q120" s="0" t="inlineStr">
        <is>
          <t>Consapevolezza eccellente</t>
        </is>
      </c>
      <c r="R120" s="0" t="inlineStr">
        <is>
          <t>Consapevolezza eccellente — Sfida extra: prova a individuare i casi limite e le eccezioni (rafforza il pensiero critico).</t>
        </is>
      </c>
      <c r="S120" s="0" t="inlineStr">
        <is>
          <t>Competenza molto alta: puntiamo alla solidità e ai casi limite. Prestazione e consapevolezza vanno insieme: sei molto affidabile nelle tue scelte. Consiglio pratico: Sfida extra: prova a individuare i casi limite e le eccezioni (rafforza il pensiero critico).</t>
        </is>
      </c>
    </row>
    <row r="121">
      <c r="A121" s="26" t="n">
        <v>120</v>
      </c>
      <c r="B121" s="27" t="n">
        <v>9.5</v>
      </c>
      <c r="C121" s="27" t="n">
        <v>95</v>
      </c>
      <c r="D121" s="27" t="n">
        <v>255</v>
      </c>
      <c r="E121" s="27" t="n">
        <v>285</v>
      </c>
      <c r="F121" s="27" t="n">
        <v>35</v>
      </c>
      <c r="G121" s="26" t="inlineStr">
        <is>
          <t>Molto sotto (y_low)</t>
        </is>
      </c>
      <c r="H121" s="27" t="n">
        <v>35</v>
      </c>
      <c r="I121" s="28" t="n">
        <v>-2</v>
      </c>
      <c r="J121" s="28" t="n">
        <v>7.5</v>
      </c>
      <c r="K121" s="29" t="inlineStr">
        <is>
          <t>Rischio misconcezioni / confidenza fuori bersaglio</t>
        </is>
      </c>
      <c r="L121" s="29" t="inlineStr">
        <is>
          <t>Rischio misconcezioni / confidenza fuori bersaglio — Scegli 3 risposte sbagliate e riscrivile con regola/criterio: se non trovi la regola, la prossima volta confidenza bassa.</t>
        </is>
      </c>
      <c r="M121" s="29" t="inlineStr">
        <is>
          <t>Competenza molto alta: puntiamo alla solidità e ai casi limite.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121" s="28" t="inlineStr">
        <is>
          <t>9.5|Molto sotto (y_low)</t>
        </is>
      </c>
      <c r="O121" s="0" t="inlineStr">
        <is>
          <t>9.5|Molto sotto (y_low)</t>
        </is>
      </c>
      <c r="P121" s="0" t="n">
        <v>7.5</v>
      </c>
      <c r="Q121" s="0" t="inlineStr">
        <is>
          <t>Rischio misconcezioni / confidenza fuori bersaglio</t>
        </is>
      </c>
      <c r="R121" s="0" t="inlineStr">
        <is>
          <t>Rischio misconcezioni / confidenza fuori bersaglio — Scegli 3 risposte sbagliate e riscrivile con regola/criterio: se non trovi la regola, la prossima volta confidenza bassa.</t>
        </is>
      </c>
      <c r="S121" s="0" t="inlineStr">
        <is>
          <t>Competenza molto alta: puntiamo alla solidità e ai casi limite.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22">
      <c r="A122" s="26" t="n">
        <v>121</v>
      </c>
      <c r="B122" s="27" t="n">
        <v>9.5</v>
      </c>
      <c r="C122" s="27" t="n">
        <v>95</v>
      </c>
      <c r="D122" s="27" t="n">
        <v>255</v>
      </c>
      <c r="E122" s="27" t="n">
        <v>285</v>
      </c>
      <c r="F122" s="27" t="n">
        <v>35</v>
      </c>
      <c r="G122" s="26" t="inlineStr">
        <is>
          <t>Sotto 2</t>
        </is>
      </c>
      <c r="H122" s="27" t="n">
        <v>189</v>
      </c>
      <c r="I122" s="28" t="n">
        <v>-0.95</v>
      </c>
      <c r="J122" s="28" t="n">
        <v>8.550000000000001</v>
      </c>
      <c r="K122" s="29" t="inlineStr">
        <is>
          <t>Inconsapevolezza marcata (calibrazione scarsa)</t>
        </is>
      </c>
      <c r="L122" s="29" t="inlineStr">
        <is>
          <t>Inconsapevolezza marcata (calibrazione scarsa) — Per ogni domanda: scrivi 1 riga di motivazione. Se non la sai scrivere, confidenza bassa senza vergogna.</t>
        </is>
      </c>
      <c r="M122" s="29" t="inlineStr">
        <is>
          <t>Competenza molto alta: puntiamo alla solidità e ai casi limite. Le risposte corrette non sono ancora distinguibili da quelle incerte: serve allenare il 'so / non so'. Consiglio pratico: Per ogni domanda: scrivi 1 riga di motivazione. Se non la sai scrivere, confidenza bassa senza vergogna.</t>
        </is>
      </c>
      <c r="N122" s="28" t="inlineStr">
        <is>
          <t>9.5|Sotto 2</t>
        </is>
      </c>
      <c r="O122" s="0" t="inlineStr">
        <is>
          <t>9.5|Sotto 2</t>
        </is>
      </c>
      <c r="P122" s="0" t="n">
        <v>8.550000000000001</v>
      </c>
      <c r="Q122" s="0" t="inlineStr">
        <is>
          <t>Inconsapevolezza marcata (calibrazione scarsa)</t>
        </is>
      </c>
      <c r="R122" s="0" t="inlineStr">
        <is>
          <t>Inconsapevolezza marcata (calibrazione scarsa) — Per ogni domanda: scrivi 1 riga di motivazione. Se non la sai scrivere, confidenza bassa senza vergogna.</t>
        </is>
      </c>
      <c r="S122" s="0" t="inlineStr">
        <is>
          <t>Competenza molto alta: puntiamo alla solidità e ai casi limite.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23">
      <c r="A123" s="26" t="n">
        <v>122</v>
      </c>
      <c r="B123" s="27" t="n">
        <v>9.5</v>
      </c>
      <c r="C123" s="27" t="n">
        <v>95</v>
      </c>
      <c r="D123" s="27" t="n">
        <v>255</v>
      </c>
      <c r="E123" s="27" t="n">
        <v>285</v>
      </c>
      <c r="F123" s="27" t="n">
        <v>35</v>
      </c>
      <c r="G123" s="26" t="inlineStr">
        <is>
          <t>Sotto 1</t>
        </is>
      </c>
      <c r="H123" s="27" t="n">
        <v>222</v>
      </c>
      <c r="I123" s="28" t="n">
        <v>-0.725</v>
      </c>
      <c r="J123" s="28" t="n">
        <v>8.775</v>
      </c>
      <c r="K123" s="29" t="inlineStr">
        <is>
          <t>Incertezza / calibrazione da migliorare</t>
        </is>
      </c>
      <c r="L123" s="29" t="inlineStr">
        <is>
          <t>Incertezza / calibrazione da migliorare — Allenati con un controllo: 'posso spiegare in 10 secondi perché?' Se sì alza, se no abbassa la confidenza.</t>
        </is>
      </c>
      <c r="M123" s="29" t="inlineStr">
        <is>
          <t>Competenza molto alta: puntiamo alla solidità e ai casi limite. Sei vicino alla calibrazione, ma c'è ancora rumore: a volte ti fidi troppo o troppo poco. Consiglio pratico: Allenati con un controllo: 'posso spiegare in 10 secondi perché?' Se sì alza, se no abbassa la confidenza.</t>
        </is>
      </c>
      <c r="N123" s="28" t="inlineStr">
        <is>
          <t>9.5|Sotto 1</t>
        </is>
      </c>
      <c r="O123" s="0" t="inlineStr">
        <is>
          <t>9.5|Sotto 1</t>
        </is>
      </c>
      <c r="P123" s="0" t="n">
        <v>8.775</v>
      </c>
      <c r="Q123" s="0" t="inlineStr">
        <is>
          <t>Incertezza / calibrazione da migliorare</t>
        </is>
      </c>
      <c r="R123" s="0" t="inlineStr">
        <is>
          <t>Incertezza / calibrazione da migliorare — Allenati con un controllo: 'posso spiegare in 10 secondi perché?' Se sì alza, se no abbassa la confidenza.</t>
        </is>
      </c>
      <c r="S123" s="0" t="inlineStr">
        <is>
          <t>Competenza molto alta: puntiamo alla solidità e ai casi limite. Sei vicino alla calibrazione, ma c'è ancora rumore: a volte ti fidi troppo o troppo poco. Consiglio pratico: Allenati con un controllo: 'posso spiegare in 10 secondi perché?' Se sì alza, se no abbassa la confidenza.</t>
        </is>
      </c>
    </row>
    <row r="124">
      <c r="A124" s="26" t="n">
        <v>123</v>
      </c>
      <c r="B124" s="27" t="n">
        <v>9.5</v>
      </c>
      <c r="C124" s="27" t="n">
        <v>95</v>
      </c>
      <c r="D124" s="27" t="n">
        <v>255</v>
      </c>
      <c r="E124" s="27" t="n">
        <v>285</v>
      </c>
      <c r="F124" s="27" t="n">
        <v>35</v>
      </c>
      <c r="G124" s="26" t="inlineStr">
        <is>
          <t>Sulla spezzata (y_min)</t>
        </is>
      </c>
      <c r="H124" s="27" t="n">
        <v>255</v>
      </c>
      <c r="I124" s="28" t="n">
        <v>-0.5</v>
      </c>
      <c r="J124" s="28" t="n">
        <v>9</v>
      </c>
      <c r="K124" s="29" t="inlineStr">
        <is>
          <t>Calibrazione minima OK</t>
        </is>
      </c>
      <c r="L124" s="29" t="inlineStr">
        <is>
          <t>Calibrazione minima OK — Obiettivo: aumentare la precisione delle motivazioni (non solo la risposta) per salire di livello.</t>
        </is>
      </c>
      <c r="M124" s="29" t="inlineStr">
        <is>
          <t>Competenza molto alta: puntiamo alla solidità e ai casi limite. Sei sul livello minimo di coerenza: la confidenza è generalmente ragionevole. Consiglio pratico: Obiettivo: aumentare la precisione delle motivazioni (non solo la risposta) per salire di livello.</t>
        </is>
      </c>
      <c r="N124" s="28" t="inlineStr">
        <is>
          <t>9.5|Sulla spezzata (y_min)</t>
        </is>
      </c>
      <c r="O124" s="0" t="inlineStr">
        <is>
          <t>9.5|Sulla spezzata (y_min)</t>
        </is>
      </c>
      <c r="P124" s="0" t="n">
        <v>9</v>
      </c>
      <c r="Q124" s="0" t="inlineStr">
        <is>
          <t>Calibrazione minima OK</t>
        </is>
      </c>
      <c r="R124" s="0" t="inlineStr">
        <is>
          <t>Calibrazione minima OK — Obiettivo: aumentare la precisione delle motivazioni (non solo la risposta) per salire di livello.</t>
        </is>
      </c>
      <c r="S124" s="0" t="inlineStr">
        <is>
          <t>Competenza molto alta: puntiamo alla solidità e ai casi limite. Sei sul livello minimo di coerenza: la confidenza è generalmente ragionevole. Consiglio pratico: Obiettivo: aumentare la precisione delle motivazioni (non solo la risposta) per salire di livello.</t>
        </is>
      </c>
    </row>
    <row r="125">
      <c r="A125" s="26" t="n">
        <v>124</v>
      </c>
      <c r="B125" s="27" t="n">
        <v>9.5</v>
      </c>
      <c r="C125" s="27" t="n">
        <v>95</v>
      </c>
      <c r="D125" s="27" t="n">
        <v>255</v>
      </c>
      <c r="E125" s="27" t="n">
        <v>285</v>
      </c>
      <c r="F125" s="27" t="n">
        <v>35</v>
      </c>
      <c r="G125" s="26" t="inlineStr">
        <is>
          <t>Sopra 1</t>
        </is>
      </c>
      <c r="H125" s="27" t="n">
        <v>259.5</v>
      </c>
      <c r="I125" s="28" t="n">
        <v>0.02500000000000002</v>
      </c>
      <c r="J125" s="28" t="n">
        <v>9.525</v>
      </c>
      <c r="K125" s="29" t="inlineStr">
        <is>
          <t>Buona calibrazione (sa e lo sa)</t>
        </is>
      </c>
      <c r="L125" s="29" t="inlineStr">
        <is>
          <t>Buona calibrazione (sa e lo sa) — Consolida: rivedi 2 errori e scrivi la 'regola d'oro' che li evita.</t>
        </is>
      </c>
      <c r="M125" s="29" t="inlineStr">
        <is>
          <t>Competenza molto alta: puntiamo alla solidità e ai casi limite. Buona corrispondenza tra ciò che sai e quanto ti fidi: la tua consapevolezza aiuta a studiare meglio. Consiglio pratico: Consolida: rivedi 2 errori e scrivi la 'regola d'oro' che li evita.</t>
        </is>
      </c>
      <c r="N125" s="28" t="inlineStr">
        <is>
          <t>9.5|Sopra 1</t>
        </is>
      </c>
      <c r="O125" s="0" t="inlineStr">
        <is>
          <t>9.5|Sopra 1</t>
        </is>
      </c>
      <c r="P125" s="0" t="n">
        <v>9.525</v>
      </c>
      <c r="Q125" s="0" t="inlineStr">
        <is>
          <t>Buona calibrazione (sa e lo sa)</t>
        </is>
      </c>
      <c r="R125" s="0" t="inlineStr">
        <is>
          <t>Buona calibrazione (sa e lo sa) — Consolida: rivedi 2 errori e scrivi la 'regola d'oro' che li evita.</t>
        </is>
      </c>
      <c r="S125" s="0" t="inlineStr">
        <is>
          <t>Competenza molto alta: puntiamo alla solidità e ai casi limite. Buona corrispondenza tra ciò che sai e quanto ti fidi: la tua consapevolezza aiuta a studiare meglio. Consiglio pratico: Consolida: rivedi 2 errori e scrivi la 'regola d'oro' che li evita.</t>
        </is>
      </c>
    </row>
    <row r="126">
      <c r="A126" s="26" t="n">
        <v>125</v>
      </c>
      <c r="B126" s="27" t="n">
        <v>9.5</v>
      </c>
      <c r="C126" s="27" t="n">
        <v>95</v>
      </c>
      <c r="D126" s="27" t="n">
        <v>255</v>
      </c>
      <c r="E126" s="27" t="n">
        <v>285</v>
      </c>
      <c r="F126" s="27" t="n">
        <v>35</v>
      </c>
      <c r="G126" s="26" t="inlineStr">
        <is>
          <t>Sopra 2</t>
        </is>
      </c>
      <c r="H126" s="27" t="n">
        <v>264</v>
      </c>
      <c r="I126" s="28" t="n">
        <v>0.55</v>
      </c>
      <c r="J126" s="28" t="n">
        <v>10</v>
      </c>
      <c r="K126" s="29" t="inlineStr">
        <is>
          <t>Consapevolezza alta (molto ben tarato)</t>
        </is>
      </c>
      <c r="L126" s="29" t="inlineStr">
        <is>
          <t>Consapevolezza alta (molto ben tarato) — Fai un passo in più: spiega a un compagno il criterio (insegnare = super test).</t>
        </is>
      </c>
      <c r="M126" s="29" t="inlineStr">
        <is>
          <t>Competenza molto alta: puntiamo alla solidità e ai casi limite. Ottima taratura: quando sei sicuro, di solito sei anche corretto. Consiglio pratico: Fai un passo in più: spiega a un compagno il criterio (insegnare = super test).</t>
        </is>
      </c>
      <c r="N126" s="28" t="inlineStr">
        <is>
          <t>9.5|Sopra 2</t>
        </is>
      </c>
      <c r="O126" s="0" t="inlineStr">
        <is>
          <t>9.5|Sopra 2</t>
        </is>
      </c>
      <c r="P126" s="0" t="n">
        <v>10</v>
      </c>
      <c r="Q126" s="0" t="inlineStr">
        <is>
          <t>Consapevolezza alta (molto ben tarato)</t>
        </is>
      </c>
      <c r="R126" s="0" t="inlineStr">
        <is>
          <t>Consapevolezza alta (molto ben tarato) — Fai un passo in più: spiega a un compagno il criterio (insegnare = super test).</t>
        </is>
      </c>
      <c r="S126" s="0" t="inlineStr">
        <is>
          <t>Competenza molto alta: puntiamo alla solidità e ai casi limite. Ottima taratura: quando sei sicuro, di solito sei anche corretto. Consiglio pratico: Fai un passo in più: spiega a un compagno il criterio (insegnare = super test).</t>
        </is>
      </c>
    </row>
    <row r="127">
      <c r="A127" s="26" t="n">
        <v>126</v>
      </c>
      <c r="B127" s="27" t="n">
        <v>9.5</v>
      </c>
      <c r="C127" s="27" t="n">
        <v>95</v>
      </c>
      <c r="D127" s="27" t="n">
        <v>255</v>
      </c>
      <c r="E127" s="27" t="n">
        <v>285</v>
      </c>
      <c r="F127" s="27" t="n">
        <v>35</v>
      </c>
      <c r="G127" s="26" t="inlineStr">
        <is>
          <t>Retta consapevolezza (y_max)</t>
        </is>
      </c>
      <c r="H127" s="27" t="n">
        <v>285</v>
      </c>
      <c r="I127" s="28" t="n">
        <v>3</v>
      </c>
      <c r="J127" s="28" t="n">
        <v>10</v>
      </c>
      <c r="K127" s="29" t="inlineStr">
        <is>
          <t>Consapevolezza eccellente</t>
        </is>
      </c>
      <c r="L127" s="29" t="inlineStr">
        <is>
          <t>Consapevolezza eccellente — Sfida extra: prova a individuare i casi limite e le eccezioni (rafforza il pensiero critico).</t>
        </is>
      </c>
      <c r="M127" s="29" t="inlineStr">
        <is>
          <t>Competenza molto alta: puntiamo alla solidità e ai casi limite. Prestazione e consapevolezza vanno insieme: sei molto affidabile nelle tue scelte. Consiglio pratico: Sfida extra: prova a individuare i casi limite e le eccezioni (rafforza il pensiero critico).</t>
        </is>
      </c>
      <c r="N127" s="28" t="inlineStr">
        <is>
          <t>9.5|Retta consapevolezza (y_max)</t>
        </is>
      </c>
      <c r="O127" s="0" t="inlineStr">
        <is>
          <t>9.5|Retta consapevolezza (y_max)</t>
        </is>
      </c>
      <c r="P127" s="0" t="n">
        <v>10</v>
      </c>
      <c r="Q127" s="0" t="inlineStr">
        <is>
          <t>Consapevolezza eccellente</t>
        </is>
      </c>
      <c r="R127" s="0" t="inlineStr">
        <is>
          <t>Consapevolezza eccellente — Sfida extra: prova a individuare i casi limite e le eccezioni (rafforza il pensiero critico).</t>
        </is>
      </c>
      <c r="S127" s="0" t="inlineStr">
        <is>
          <t>Competenza molto alta: puntiamo alla solidità e ai casi limite. Prestazione e consapevolezza vanno insieme: sei molto affidabile nelle tue scelte. Consiglio pratico: Sfida extra: prova a individuare i casi limite e le eccezioni (rafforza il pensiero critico).</t>
        </is>
      </c>
    </row>
    <row r="128">
      <c r="A128" s="26" t="n">
        <v>127</v>
      </c>
      <c r="B128" s="27" t="n">
        <v>10</v>
      </c>
      <c r="C128" s="27" t="n">
        <v>100</v>
      </c>
      <c r="D128" s="27" t="n">
        <v>300</v>
      </c>
      <c r="E128" s="27" t="n">
        <v>300</v>
      </c>
      <c r="F128" s="27" t="n">
        <v>40</v>
      </c>
      <c r="G128" s="26" t="inlineStr">
        <is>
          <t>Molto sotto (y_low)</t>
        </is>
      </c>
      <c r="H128" s="27" t="n">
        <v>40</v>
      </c>
      <c r="I128" s="28" t="n">
        <v>-2</v>
      </c>
      <c r="J128" s="28" t="n">
        <v>8</v>
      </c>
      <c r="K128" s="29" t="inlineStr">
        <is>
          <t>Rischio misconcezioni / confidenza fuori bersaglio</t>
        </is>
      </c>
      <c r="L128" s="29" t="inlineStr">
        <is>
          <t>Rischio misconcezioni / confidenza fuori bersaglio — Scegli 3 risposte sbagliate e riscrivile con regola/criterio: se non trovi la regola, la prossima volta confidenza bassa.</t>
        </is>
      </c>
      <c r="M128" s="29" t="inlineStr">
        <is>
          <t>Competenza molto alta: puntiamo alla solidità e ai casi limite.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  <c r="N128" s="28" t="inlineStr">
        <is>
          <t>10.0|Molto sotto (y_low)</t>
        </is>
      </c>
      <c r="O128" s="0" t="inlineStr">
        <is>
          <t>10.0|Molto sotto (y_low)</t>
        </is>
      </c>
      <c r="P128" s="0" t="n">
        <v>8</v>
      </c>
      <c r="Q128" s="0" t="inlineStr">
        <is>
          <t>Rischio misconcezioni / confidenza fuori bersaglio</t>
        </is>
      </c>
      <c r="R128" s="0" t="inlineStr">
        <is>
          <t>Rischio misconcezioni / confidenza fuori bersaglio — Scegli 3 risposte sbagliate e riscrivile con regola/criterio: se non trovi la regola, la prossima volta confidenza bassa.</t>
        </is>
      </c>
      <c r="S128" s="0" t="inlineStr">
        <is>
          <t>Competenza molto alta: puntiamo alla solidità e ai casi limite. Probabile mix di errori convinti e/o uso non coerente della confidenza: qui si nascondono misconcezioni. Consiglio pratico: Scegli 3 risposte sbagliate e riscrivile con regola/criterio: se non trovi la regola, la prossima volta confidenza bassa.</t>
        </is>
      </c>
    </row>
    <row r="129">
      <c r="A129" s="26" t="n">
        <v>128</v>
      </c>
      <c r="B129" s="27" t="n">
        <v>10</v>
      </c>
      <c r="C129" s="27" t="n">
        <v>100</v>
      </c>
      <c r="D129" s="27" t="n">
        <v>300</v>
      </c>
      <c r="E129" s="27" t="n">
        <v>300</v>
      </c>
      <c r="F129" s="27" t="n">
        <v>40</v>
      </c>
      <c r="G129" s="26" t="inlineStr">
        <is>
          <t>Sotto 2</t>
        </is>
      </c>
      <c r="H129" s="27" t="n">
        <v>222</v>
      </c>
      <c r="I129" s="28" t="n">
        <v>-0.95</v>
      </c>
      <c r="J129" s="28" t="n">
        <v>9.050000000000001</v>
      </c>
      <c r="K129" s="29" t="inlineStr">
        <is>
          <t>Inconsapevolezza marcata (calibrazione scarsa)</t>
        </is>
      </c>
      <c r="L129" s="29" t="inlineStr">
        <is>
          <t>Inconsapevolezza marcata (calibrazione scarsa) — Per ogni domanda: scrivi 1 riga di motivazione. Se non la sai scrivere, confidenza bassa senza vergogna.</t>
        </is>
      </c>
      <c r="M129" s="29" t="inlineStr">
        <is>
          <t>Competenza molto alta: puntiamo alla solidità e ai casi limite. Le risposte corrette non sono ancora distinguibili da quelle incerte: serve allenare il 'so / non so'. Consiglio pratico: Per ogni domanda: scrivi 1 riga di motivazione. Se non la sai scrivere, confidenza bassa senza vergogna.</t>
        </is>
      </c>
      <c r="N129" s="28" t="inlineStr">
        <is>
          <t>10.0|Sotto 2</t>
        </is>
      </c>
      <c r="O129" s="0" t="inlineStr">
        <is>
          <t>10.0|Sotto 2</t>
        </is>
      </c>
      <c r="P129" s="0" t="n">
        <v>9.050000000000001</v>
      </c>
      <c r="Q129" s="0" t="inlineStr">
        <is>
          <t>Inconsapevolezza marcata (calibrazione scarsa)</t>
        </is>
      </c>
      <c r="R129" s="0" t="inlineStr">
        <is>
          <t>Inconsapevolezza marcata (calibrazione scarsa) — Per ogni domanda: scrivi 1 riga di motivazione. Se non la sai scrivere, confidenza bassa senza vergogna.</t>
        </is>
      </c>
      <c r="S129" s="0" t="inlineStr">
        <is>
          <t>Competenza molto alta: puntiamo alla solidità e ai casi limite. Le risposte corrette non sono ancora distinguibili da quelle incerte: serve allenare il 'so / non so'. Consiglio pratico: Per ogni domanda: scrivi 1 riga di motivazione. Se non la sai scrivere, confidenza bassa senza vergogna.</t>
        </is>
      </c>
    </row>
    <row r="130">
      <c r="A130" s="26" t="n">
        <v>129</v>
      </c>
      <c r="B130" s="27" t="n">
        <v>10</v>
      </c>
      <c r="C130" s="27" t="n">
        <v>100</v>
      </c>
      <c r="D130" s="27" t="n">
        <v>300</v>
      </c>
      <c r="E130" s="27" t="n">
        <v>300</v>
      </c>
      <c r="F130" s="27" t="n">
        <v>40</v>
      </c>
      <c r="G130" s="26" t="inlineStr">
        <is>
          <t>Sotto 1</t>
        </is>
      </c>
      <c r="H130" s="27" t="n">
        <v>261</v>
      </c>
      <c r="I130" s="28" t="n">
        <v>-0.725</v>
      </c>
      <c r="J130" s="28" t="n">
        <v>9.275</v>
      </c>
      <c r="K130" s="29" t="inlineStr">
        <is>
          <t>Incertezza / calibrazione da migliorare</t>
        </is>
      </c>
      <c r="L130" s="29" t="inlineStr">
        <is>
          <t>Incertezza / calibrazione da migliorare — Allenati con un controllo: 'posso spiegare in 10 secondi perché?' Se sì alza, se no abbassa la confidenza.</t>
        </is>
      </c>
      <c r="M130" s="29" t="inlineStr">
        <is>
          <t>Competenza molto alta: puntiamo alla solidità e ai casi limite. Sei vicino alla calibrazione, ma c'è ancora rumore: a volte ti fidi troppo o troppo poco. Consiglio pratico: Allenati con un controllo: 'posso spiegare in 10 secondi perché?' Se sì alza, se no abbassa la confidenza.</t>
        </is>
      </c>
      <c r="N130" s="28" t="inlineStr">
        <is>
          <t>10.0|Sotto 1</t>
        </is>
      </c>
      <c r="O130" s="0" t="inlineStr">
        <is>
          <t>10.0|Sotto 1</t>
        </is>
      </c>
      <c r="P130" s="0" t="n">
        <v>9.275</v>
      </c>
      <c r="Q130" s="0" t="inlineStr">
        <is>
          <t>Incertezza / calibrazione da migliorare</t>
        </is>
      </c>
      <c r="R130" s="0" t="inlineStr">
        <is>
          <t>Incertezza / calibrazione da migliorare — Allenati con un controllo: 'posso spiegare in 10 secondi perché?' Se sì alza, se no abbassa la confidenza.</t>
        </is>
      </c>
      <c r="S130" s="0" t="inlineStr">
        <is>
          <t>Competenza molto alta: puntiamo alla solidità e ai casi limite. Sei vicino alla calibrazione, ma c'è ancora rumore: a volte ti fidi troppo o troppo poco. Consiglio pratico: Allenati con un controllo: 'posso spiegare in 10 secondi perché?' Se sì alza, se no abbassa la confidenza.</t>
        </is>
      </c>
    </row>
    <row r="131">
      <c r="A131" s="26" t="n">
        <v>130</v>
      </c>
      <c r="B131" s="27" t="n">
        <v>10</v>
      </c>
      <c r="C131" s="27" t="n">
        <v>100</v>
      </c>
      <c r="D131" s="27" t="n">
        <v>300</v>
      </c>
      <c r="E131" s="27" t="n">
        <v>300</v>
      </c>
      <c r="F131" s="27" t="n">
        <v>40</v>
      </c>
      <c r="G131" s="26" t="inlineStr">
        <is>
          <t>Sulla spezzata (y_min)</t>
        </is>
      </c>
      <c r="H131" s="27" t="n">
        <v>300</v>
      </c>
      <c r="I131" s="28" t="n">
        <v>0</v>
      </c>
      <c r="J131" s="28" t="n">
        <v>10</v>
      </c>
      <c r="K131" s="29" t="inlineStr">
        <is>
          <t>Calibrazione minima OK</t>
        </is>
      </c>
      <c r="L131" s="29" t="inlineStr">
        <is>
          <t>Calibrazione minima OK — Obiettivo: aumentare la precisione delle motivazioni (non solo la risposta) per salire di livello.</t>
        </is>
      </c>
      <c r="M131" s="29" t="inlineStr">
        <is>
          <t>Competenza molto alta: puntiamo alla solidità e ai casi limite. Sei sul livello minimo di coerenza: la confidenza è generalmente ragionevole. Consiglio pratico: Obiettivo: aumentare la precisione delle motivazioni (non solo la risposta) per salire di livello.</t>
        </is>
      </c>
      <c r="N131" s="28" t="inlineStr">
        <is>
          <t>10.0|Sulla spezzata (y_min)</t>
        </is>
      </c>
      <c r="O131" s="0" t="inlineStr">
        <is>
          <t>10.0|Sulla spezzata (y_min)</t>
        </is>
      </c>
      <c r="P131" s="0" t="n">
        <v>10</v>
      </c>
      <c r="Q131" s="0" t="inlineStr">
        <is>
          <t>Calibrazione minima OK</t>
        </is>
      </c>
      <c r="R131" s="0" t="inlineStr">
        <is>
          <t>Calibrazione minima OK — Obiettivo: aumentare la precisione delle motivazioni (non solo la risposta) per salire di livello.</t>
        </is>
      </c>
      <c r="S131" s="0" t="inlineStr">
        <is>
          <t>Competenza molto alta: puntiamo alla solidità e ai casi limite. Sei sul livello minimo di coerenza: la confidenza è generalmente ragionevole. Consiglio pratico: Obiettivo: aumentare la precisione delle motivazioni (non solo la risposta) per salire di livello.</t>
        </is>
      </c>
    </row>
    <row r="132">
      <c r="A132" s="26" t="n">
        <v>131</v>
      </c>
      <c r="B132" s="27" t="n">
        <v>10</v>
      </c>
      <c r="C132" s="27" t="n">
        <v>100</v>
      </c>
      <c r="D132" s="27" t="n">
        <v>300</v>
      </c>
      <c r="E132" s="27" t="n">
        <v>300</v>
      </c>
      <c r="F132" s="27" t="n">
        <v>40</v>
      </c>
      <c r="G132" s="26" t="inlineStr">
        <is>
          <t>Sopra 1</t>
        </is>
      </c>
      <c r="H132" s="27" t="n">
        <v>300</v>
      </c>
      <c r="I132" s="28" t="n">
        <v>0</v>
      </c>
      <c r="J132" s="28" t="n">
        <v>10</v>
      </c>
      <c r="K132" s="29" t="inlineStr">
        <is>
          <t>Buona calibrazione (sa e lo sa)</t>
        </is>
      </c>
      <c r="L132" s="29" t="inlineStr">
        <is>
          <t>Buona calibrazione (sa e lo sa) — Consolida: rivedi 2 errori e scrivi la 'regola d'oro' che li evita.</t>
        </is>
      </c>
      <c r="M132" s="29" t="inlineStr">
        <is>
          <t>Competenza molto alta: puntiamo alla solidità e ai casi limite. Buona corrispondenza tra ciò che sai e quanto ti fidi: la tua consapevolezza aiuta a studiare meglio. Consiglio pratico: Consolida: rivedi 2 errori e scrivi la 'regola d'oro' che li evita.</t>
        </is>
      </c>
      <c r="N132" s="28" t="inlineStr">
        <is>
          <t>10.0|Sopra 1</t>
        </is>
      </c>
      <c r="O132" s="0" t="inlineStr">
        <is>
          <t>10.0|Sopra 1</t>
        </is>
      </c>
      <c r="P132" s="0" t="n">
        <v>10</v>
      </c>
      <c r="Q132" s="0" t="inlineStr">
        <is>
          <t>Buona calibrazione (sa e lo sa)</t>
        </is>
      </c>
      <c r="R132" s="0" t="inlineStr">
        <is>
          <t>Buona calibrazione (sa e lo sa) — Consolida: rivedi 2 errori e scrivi la 'regola d'oro' che li evita.</t>
        </is>
      </c>
      <c r="S132" s="0" t="inlineStr">
        <is>
          <t>Competenza molto alta: puntiamo alla solidità e ai casi limite. Buona corrispondenza tra ciò che sai e quanto ti fidi: la tua consapevolezza aiuta a studiare meglio. Consiglio pratico: Consolida: rivedi 2 errori e scrivi la 'regola d'oro' che li evita.</t>
        </is>
      </c>
    </row>
    <row r="133">
      <c r="A133" s="26" t="n">
        <v>132</v>
      </c>
      <c r="B133" s="27" t="n">
        <v>10</v>
      </c>
      <c r="C133" s="27" t="n">
        <v>100</v>
      </c>
      <c r="D133" s="27" t="n">
        <v>300</v>
      </c>
      <c r="E133" s="27" t="n">
        <v>300</v>
      </c>
      <c r="F133" s="27" t="n">
        <v>40</v>
      </c>
      <c r="G133" s="26" t="inlineStr">
        <is>
          <t>Sopra 2</t>
        </is>
      </c>
      <c r="H133" s="27" t="n">
        <v>300</v>
      </c>
      <c r="I133" s="28" t="n">
        <v>0</v>
      </c>
      <c r="J133" s="28" t="n">
        <v>10</v>
      </c>
      <c r="K133" s="29" t="inlineStr">
        <is>
          <t>Consapevolezza alta (molto ben tarato)</t>
        </is>
      </c>
      <c r="L133" s="29" t="inlineStr">
        <is>
          <t>Consapevolezza alta (molto ben tarato) — Fai un passo in più: spiega a un compagno il criterio (insegnare = super test).</t>
        </is>
      </c>
      <c r="M133" s="29" t="inlineStr">
        <is>
          <t>Competenza molto alta: puntiamo alla solidità e ai casi limite. Ottima taratura: quando sei sicuro, di solito sei anche corretto. Consiglio pratico: Fai un passo in più: spiega a un compagno il criterio (insegnare = super test).</t>
        </is>
      </c>
      <c r="N133" s="28" t="inlineStr">
        <is>
          <t>10.0|Sopra 2</t>
        </is>
      </c>
      <c r="O133" s="0" t="inlineStr">
        <is>
          <t>10.0|Sopra 2</t>
        </is>
      </c>
      <c r="P133" s="0" t="n">
        <v>10</v>
      </c>
      <c r="Q133" s="0" t="inlineStr">
        <is>
          <t>Consapevolezza alta (molto ben tarato)</t>
        </is>
      </c>
      <c r="R133" s="0" t="inlineStr">
        <is>
          <t>Consapevolezza alta (molto ben tarato) — Fai un passo in più: spiega a un compagno il criterio (insegnare = super test).</t>
        </is>
      </c>
      <c r="S133" s="0" t="inlineStr">
        <is>
          <t>Competenza molto alta: puntiamo alla solidità e ai casi limite. Ottima taratura: quando sei sicuro, di solito sei anche corretto. Consiglio pratico: Fai un passo in più: spiega a un compagno il criterio (insegnare = super test).</t>
        </is>
      </c>
    </row>
    <row r="134">
      <c r="A134" s="26" t="n">
        <v>133</v>
      </c>
      <c r="B134" s="27" t="n">
        <v>10</v>
      </c>
      <c r="C134" s="27" t="n">
        <v>100</v>
      </c>
      <c r="D134" s="27" t="n">
        <v>300</v>
      </c>
      <c r="E134" s="27" t="n">
        <v>300</v>
      </c>
      <c r="F134" s="27" t="n">
        <v>40</v>
      </c>
      <c r="G134" s="26" t="inlineStr">
        <is>
          <t>Retta consapevolezza (y_max)</t>
        </is>
      </c>
      <c r="H134" s="27" t="n">
        <v>300</v>
      </c>
      <c r="I134" s="28" t="n">
        <v>0</v>
      </c>
      <c r="J134" s="28" t="n">
        <v>10</v>
      </c>
      <c r="K134" s="29" t="inlineStr">
        <is>
          <t>Consapevolezza eccellente</t>
        </is>
      </c>
      <c r="L134" s="29" t="inlineStr">
        <is>
          <t>Consapevolezza eccellente — Sfida extra: prova a individuare i casi limite e le eccezioni (rafforza il pensiero critico).</t>
        </is>
      </c>
      <c r="M134" s="29" t="inlineStr">
        <is>
          <t>Competenza molto alta: puntiamo alla solidità e ai casi limite. Prestazione e consapevolezza vanno insieme: sei molto affidabile nelle tue scelte. Consiglio pratico: Sfida extra: prova a individuare i casi limite e le eccezioni (rafforza il pensiero critico).</t>
        </is>
      </c>
      <c r="N134" s="28" t="inlineStr">
        <is>
          <t>10.0|Retta consapevolezza (y_max)</t>
        </is>
      </c>
      <c r="O134" s="0" t="inlineStr">
        <is>
          <t>10.0|Retta consapevolezza (y_max)</t>
        </is>
      </c>
      <c r="P134" s="0" t="n">
        <v>10</v>
      </c>
      <c r="Q134" s="0" t="inlineStr">
        <is>
          <t>Consapevolezza eccellente</t>
        </is>
      </c>
      <c r="R134" s="0" t="inlineStr">
        <is>
          <t>Consapevolezza eccellente — Sfida extra: prova a individuare i casi limite e le eccezioni (rafforza il pensiero critico).</t>
        </is>
      </c>
      <c r="S134" s="0" t="inlineStr">
        <is>
          <t>Competenza molto alta: puntiamo alla solidità e ai casi limite. Prestazione e consapevolezza vanno insieme: sei molto affidabile nelle tue scelte. Consiglio pratico: Sfida extra: prova a individuare i casi limite e le eccezioni (rafforza il pensiero critico).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17" min="1" max="1"/>
    <col width="10" customWidth="1" style="17" min="2" max="2"/>
    <col width="28" customWidth="1" style="17" min="3" max="3"/>
    <col width="28" customWidth="1" style="17" min="4" max="4"/>
    <col width="28" customWidth="1" style="17" min="5" max="5"/>
    <col width="28" customWidth="1" style="17" min="6" max="6"/>
    <col width="28" customWidth="1" style="17" min="7" max="7"/>
    <col width="28" customWidth="1" style="17" min="8" max="8"/>
    <col width="28" customWidth="1" style="17" min="9" max="9"/>
  </cols>
  <sheetData>
    <row r="1" ht="24" customHeight="1" s="17">
      <c r="A1" s="18" t="inlineStr">
        <is>
          <t>Mappa Accuracy (0–10, step 0,5) × 7 livelli CBM% (attorno alla spezzata)</t>
        </is>
      </c>
    </row>
    <row r="3">
      <c r="A3" s="31" t="inlineStr">
        <is>
          <t>Voto accuracy</t>
        </is>
      </c>
      <c r="B3" s="31" t="inlineStr">
        <is>
          <t>Accuracy%</t>
        </is>
      </c>
      <c r="C3" s="31" t="inlineStr">
        <is>
          <t>Molto sotto (y_low)</t>
        </is>
      </c>
      <c r="D3" s="31" t="inlineStr">
        <is>
          <t>Sotto 2</t>
        </is>
      </c>
      <c r="E3" s="31" t="inlineStr">
        <is>
          <t>Sotto 1</t>
        </is>
      </c>
      <c r="F3" s="31" t="inlineStr">
        <is>
          <t>Sulla spezzata (y_min)</t>
        </is>
      </c>
      <c r="G3" s="31" t="inlineStr">
        <is>
          <t>Sopra 1</t>
        </is>
      </c>
      <c r="H3" s="31" t="inlineStr">
        <is>
          <t>Sopra 2</t>
        </is>
      </c>
      <c r="I3" s="31" t="inlineStr">
        <is>
          <t>Retta consapevolezza (y_max)</t>
        </is>
      </c>
    </row>
    <row r="4" ht="78" customHeight="1" s="17">
      <c r="A4" s="32" t="n">
        <v>1</v>
      </c>
      <c r="B4" s="32" t="n">
        <v>10</v>
      </c>
      <c r="C4" s="33" t="inlineStr">
        <is>
          <t>CBM≈-50%
Vf≈1.00
Rischio misconcezioni / confidenza fuori bersaglio
Scegli 3 risposte sbagliate e riscrivile con regola/criterio: se non trovi la regola, la prossima volta confidenza bassa.</t>
        </is>
      </c>
      <c r="D4" s="34" t="inlineStr">
        <is>
          <t>CBM≈-8%
Vf≈1.00
Inconsapevolezza marcata (calibrazione scarsa)
Per ogni domanda: scrivi 1 riga di motivazione. Se non la sai scrivere, confidenza bassa senza vergogna.</t>
        </is>
      </c>
      <c r="E4" s="35" t="inlineStr">
        <is>
          <t>CBM≈1%
Vf≈1.00
Incertezza / calibrazione da migliorare
Allenati con un controllo: 'posso spiegare in 10 secondi perché?' Se sì alza, se no abbassa la confidenza.</t>
        </is>
      </c>
      <c r="F4" s="36" t="inlineStr">
        <is>
          <t>CBM≈10%
Vf≈1.00
Calibrazione minima OK
Obiettivo: aumentare la precisione delle motivazioni (non solo la risposta) per salire di livello.</t>
        </is>
      </c>
      <c r="G4" s="37" t="inlineStr">
        <is>
          <t>CBM≈13%
Vf≈1.00
Buona calibrazione (sa e lo sa)
Consolida: rivedi 2 errori e scrivi la 'regola d'oro' che li evita.</t>
        </is>
      </c>
      <c r="H4" s="38" t="inlineStr">
        <is>
          <t>CBM≈16%
Vf≈1.00
Consapevolezza alta (molto ben tarato)
Fai un passo in più: spiega a un compagno il criterio (insegnare = super test).</t>
        </is>
      </c>
      <c r="I4" s="39" t="inlineStr">
        <is>
          <t>CBM≈30%
Vf≈1.00
Consapevolezza eccellente
Sfida extra: prova a individuare i casi limite e le eccezioni (rafforza il pensiero critico).</t>
        </is>
      </c>
    </row>
    <row r="5" ht="78" customHeight="1" s="17">
      <c r="A5" s="32" t="n">
        <v>1.5</v>
      </c>
      <c r="B5" s="32" t="n">
        <v>15</v>
      </c>
      <c r="C5" s="33" t="inlineStr">
        <is>
          <t>CBM≈-45%
Vf≈1.50
Rischio misconcezioni / confidenza fuori bersaglio
Scegli 3 risposte sbagliate e riscrivile con regola/criterio: se non trovi la regola, la prossima volta confidenza bassa.</t>
        </is>
      </c>
      <c r="D5" s="34" t="inlineStr">
        <is>
          <t>CBM≈-3%
Vf≈1.50
Inconsapevolezza marcata (calibrazione scarsa)
Per ogni domanda: scrivi 1 riga di motivazione. Se non la sai scrivere, confidenza bassa senza vergogna.</t>
        </is>
      </c>
      <c r="E5" s="35" t="inlineStr">
        <is>
          <t>CBM≈6%
Vf≈1.50
Incertezza / calibrazione da migliorare
Allenati con un controllo: 'posso spiegare in 10 secondi perché?' Se sì alza, se no abbassa la confidenza.</t>
        </is>
      </c>
      <c r="F5" s="36" t="inlineStr">
        <is>
          <t>CBM≈15%
Vf≈1.50
Calibrazione minima OK
Obiettivo: aumentare la precisione delle motivazioni (non solo la risposta) per salire di livello.</t>
        </is>
      </c>
      <c r="G5" s="37" t="inlineStr">
        <is>
          <t>CBM≈20%
Vf≈1.50
Buona calibrazione (sa e lo sa)
Consolida: rivedi 2 errori e scrivi la 'regola d'oro' che li evita.</t>
        </is>
      </c>
      <c r="H5" s="38" t="inlineStr">
        <is>
          <t>CBM≈24%
Vf≈1.50
Consapevolezza alta (molto ben tarato)
Fai un passo in più: spiega a un compagno il criterio (insegnare = super test).</t>
        </is>
      </c>
      <c r="I5" s="39" t="inlineStr">
        <is>
          <t>CBM≈45%
Vf≈1.50
Consapevolezza eccellente
Sfida extra: prova a individuare i casi limite e le eccezioni (rafforza il pensiero critico).</t>
        </is>
      </c>
    </row>
    <row r="6" ht="78" customHeight="1" s="17">
      <c r="A6" s="32" t="n">
        <v>2</v>
      </c>
      <c r="B6" s="32" t="n">
        <v>20</v>
      </c>
      <c r="C6" s="33" t="inlineStr">
        <is>
          <t>CBM≈-40%
Vf≈2.00
Rischio misconcezioni / confidenza fuori bersaglio
Scegli 3 risposte sbagliate e riscrivile con regola/criterio: se non trovi la regola, la prossima volta confidenza bassa.</t>
        </is>
      </c>
      <c r="D6" s="34" t="inlineStr">
        <is>
          <t>CBM≈2%
Vf≈2.00
Inconsapevolezza marcata (calibrazione scarsa)
Per ogni domanda: scrivi 1 riga di motivazione. Se non la sai scrivere, confidenza bassa senza vergogna.</t>
        </is>
      </c>
      <c r="E6" s="35" t="inlineStr">
        <is>
          <t>CBM≈11%
Vf≈2.00
Incertezza / calibrazione da migliorare
Allenati con un controllo: 'posso spiegare in 10 secondi perché?' Se sì alza, se no abbassa la confidenza.</t>
        </is>
      </c>
      <c r="F6" s="36" t="inlineStr">
        <is>
          <t>CBM≈20%
Vf≈2.00
Calibrazione minima OK
Obiettivo: aumentare la precisione delle motivazioni (non solo la risposta) per salire di livello.</t>
        </is>
      </c>
      <c r="G6" s="37" t="inlineStr">
        <is>
          <t>CBM≈26%
Vf≈2.00
Buona calibrazione (sa e lo sa)
Consolida: rivedi 2 errori e scrivi la 'regola d'oro' che li evita.</t>
        </is>
      </c>
      <c r="H6" s="38" t="inlineStr">
        <is>
          <t>CBM≈32%
Vf≈2.00
Consapevolezza alta (molto ben tarato)
Fai un passo in più: spiega a un compagno il criterio (insegnare = super test).</t>
        </is>
      </c>
      <c r="I6" s="39" t="inlineStr">
        <is>
          <t>CBM≈60%
Vf≈2.00
Consapevolezza eccellente
Sfida extra: prova a individuare i casi limite e le eccezioni (rafforza il pensiero critico).</t>
        </is>
      </c>
    </row>
    <row r="7" ht="78" customHeight="1" s="17">
      <c r="A7" s="32" t="n">
        <v>2.5</v>
      </c>
      <c r="B7" s="32" t="n">
        <v>25</v>
      </c>
      <c r="C7" s="33" t="inlineStr">
        <is>
          <t>CBM≈-35%
Vf≈2.50
Rischio misconcezioni / confidenza fuori bersaglio
Scegli 3 risposte sbagliate e riscrivile con regola/criterio: se non trovi la regola, la prossima volta confidenza bassa.</t>
        </is>
      </c>
      <c r="D7" s="34" t="inlineStr">
        <is>
          <t>CBM≈7%
Vf≈2.50
Inconsapevolezza marcata (calibrazione scarsa)
Per ogni domanda: scrivi 1 riga di motivazione. Se non la sai scrivere, confidenza bassa senza vergogna.</t>
        </is>
      </c>
      <c r="E7" s="35" t="inlineStr">
        <is>
          <t>CBM≈16%
Vf≈2.50
Incertezza / calibrazione da migliorare
Allenati con un controllo: 'posso spiegare in 10 secondi perché?' Se sì alza, se no abbassa la confidenza.</t>
        </is>
      </c>
      <c r="F7" s="36" t="inlineStr">
        <is>
          <t>CBM≈25%
Vf≈2.50
Calibrazione minima OK
Obiettivo: aumentare la precisione delle motivazioni (non solo la risposta) per salire di livello.</t>
        </is>
      </c>
      <c r="G7" s="37" t="inlineStr">
        <is>
          <t>CBM≈32%
Vf≈2.50
Buona calibrazione (sa e lo sa)
Consolida: rivedi 2 errori e scrivi la 'regola d'oro' che li evita.</t>
        </is>
      </c>
      <c r="H7" s="38" t="inlineStr">
        <is>
          <t>CBM≈40%
Vf≈2.50
Consapevolezza alta (molto ben tarato)
Fai un passo in più: spiega a un compagno il criterio (insegnare = super test).</t>
        </is>
      </c>
      <c r="I7" s="39" t="inlineStr">
        <is>
          <t>CBM≈75%
Vf≈2.50
Consapevolezza eccellente
Sfida extra: prova a individuare i casi limite e le eccezioni (rafforza il pensiero critico).</t>
        </is>
      </c>
    </row>
    <row r="8" ht="78" customHeight="1" s="17">
      <c r="A8" s="32" t="n">
        <v>3</v>
      </c>
      <c r="B8" s="32" t="n">
        <v>30</v>
      </c>
      <c r="C8" s="33" t="inlineStr">
        <is>
          <t>CBM≈-30%
Vf≈3.00
Rischio misconcezioni / confidenza fuori bersaglio
Scegli 3 risposte sbagliate e riscrivile con regola/criterio: se non trovi la regola, la prossima volta confidenza bassa.</t>
        </is>
      </c>
      <c r="D8" s="34" t="inlineStr">
        <is>
          <t>CBM≈12%
Vf≈3.00
Inconsapevolezza marcata (calibrazione scarsa)
Per ogni domanda: scrivi 1 riga di motivazione. Se non la sai scrivere, confidenza bassa senza vergogna.</t>
        </is>
      </c>
      <c r="E8" s="35" t="inlineStr">
        <is>
          <t>CBM≈21%
Vf≈3.00
Incertezza / calibrazione da migliorare
Allenati con un controllo: 'posso spiegare in 10 secondi perché?' Se sì alza, se no abbassa la confidenza.</t>
        </is>
      </c>
      <c r="F8" s="36" t="inlineStr">
        <is>
          <t>CBM≈30%
Vf≈3.00
Calibrazione minima OK
Obiettivo: aumentare la precisione delle motivazioni (non solo la risposta) per salire di livello.</t>
        </is>
      </c>
      <c r="G8" s="37" t="inlineStr">
        <is>
          <t>CBM≈39%
Vf≈3.00
Buona calibrazione (sa e lo sa)
Consolida: rivedi 2 errori e scrivi la 'regola d'oro' che li evita.</t>
        </is>
      </c>
      <c r="H8" s="38" t="inlineStr">
        <is>
          <t>CBM≈48%
Vf≈3.00
Consapevolezza alta (molto ben tarato)
Fai un passo in più: spiega a un compagno il criterio (insegnare = super test).</t>
        </is>
      </c>
      <c r="I8" s="39" t="inlineStr">
        <is>
          <t>CBM≈90%
Vf≈3.00
Consapevolezza eccellente
Sfida extra: prova a individuare i casi limite e le eccezioni (rafforza il pensiero critico).</t>
        </is>
      </c>
    </row>
    <row r="9" ht="78" customHeight="1" s="17">
      <c r="A9" s="32" t="n">
        <v>3.5</v>
      </c>
      <c r="B9" s="32" t="n">
        <v>35</v>
      </c>
      <c r="C9" s="33" t="inlineStr">
        <is>
          <t>CBM≈-25%
Vf≈3.50
Rischio misconcezioni / confidenza fuori bersaglio
Scegli 3 risposte sbagliate e riscrivile con regola/criterio: se non trovi la regola, la prossima volta confidenza bassa.</t>
        </is>
      </c>
      <c r="D9" s="34" t="inlineStr">
        <is>
          <t>CBM≈17%
Vf≈3.50
Inconsapevolezza marcata (calibrazione scarsa)
Per ogni domanda: scrivi 1 riga di motivazione. Se non la sai scrivere, confidenza bassa senza vergogna.</t>
        </is>
      </c>
      <c r="E9" s="35" t="inlineStr">
        <is>
          <t>CBM≈26%
Vf≈3.50
Incertezza / calibrazione da migliorare
Allenati con un controllo: 'posso spiegare in 10 secondi perché?' Se sì alza, se no abbassa la confidenza.</t>
        </is>
      </c>
      <c r="F9" s="36" t="inlineStr">
        <is>
          <t>CBM≈35%
Vf≈3.50
Calibrazione minima OK
Obiettivo: aumentare la precisione delle motivazioni (non solo la risposta) per salire di livello.</t>
        </is>
      </c>
      <c r="G9" s="37" t="inlineStr">
        <is>
          <t>CBM≈46%
Vf≈3.50
Buona calibrazione (sa e lo sa)
Consolida: rivedi 2 errori e scrivi la 'regola d'oro' che li evita.</t>
        </is>
      </c>
      <c r="H9" s="38" t="inlineStr">
        <is>
          <t>CBM≈56%
Vf≈3.50
Consapevolezza alta (molto ben tarato)
Fai un passo in più: spiega a un compagno il criterio (insegnare = super test).</t>
        </is>
      </c>
      <c r="I9" s="39" t="inlineStr">
        <is>
          <t>CBM≈105%
Vf≈3.50
Consapevolezza eccellente
Sfida extra: prova a individuare i casi limite e le eccezioni (rafforza il pensiero critico).</t>
        </is>
      </c>
    </row>
    <row r="10" ht="78" customHeight="1" s="17">
      <c r="A10" s="32" t="n">
        <v>4</v>
      </c>
      <c r="B10" s="32" t="n">
        <v>40</v>
      </c>
      <c r="C10" s="33" t="inlineStr">
        <is>
          <t>CBM≈-20%
Vf≈4.00
Rischio misconcezioni / confidenza fuori bersaglio
Scegli 3 risposte sbagliate e riscrivile con regola/criterio: se non trovi la regola, la prossima volta confidenza bassa.</t>
        </is>
      </c>
      <c r="D10" s="34" t="inlineStr">
        <is>
          <t>CBM≈22%
Vf≈4.00
Inconsapevolezza marcata (calibrazione scarsa)
Per ogni domanda: scrivi 1 riga di motivazione. Se non la sai scrivere, confidenza bassa senza vergogna.</t>
        </is>
      </c>
      <c r="E10" s="35" t="inlineStr">
        <is>
          <t>CBM≈31%
Vf≈4.00
Incertezza / calibrazione da migliorare
Allenati con un controllo: 'posso spiegare in 10 secondi perché?' Se sì alza, se no abbassa la confidenza.</t>
        </is>
      </c>
      <c r="F10" s="36" t="inlineStr">
        <is>
          <t>CBM≈40%
Vf≈4.00
Calibrazione minima OK
Obiettivo: aumentare la precisione delle motivazioni (non solo la risposta) per salire di livello.</t>
        </is>
      </c>
      <c r="G10" s="37" t="inlineStr">
        <is>
          <t>CBM≈52%
Vf≈4.00
Buona calibrazione (sa e lo sa)
Consolida: rivedi 2 errori e scrivi la 'regola d'oro' che li evita.</t>
        </is>
      </c>
      <c r="H10" s="38" t="inlineStr">
        <is>
          <t>CBM≈64%
Vf≈4.00
Consapevolezza alta (molto ben tarato)
Fai un passo in più: spiega a un compagno il criterio (insegnare = super test).</t>
        </is>
      </c>
      <c r="I10" s="39" t="inlineStr">
        <is>
          <t>CBM≈120%
Vf≈4.00
Consapevolezza eccellente
Sfida extra: prova a individuare i casi limite e le eccezioni (rafforza il pensiero critico).</t>
        </is>
      </c>
    </row>
    <row r="11" ht="78" customHeight="1" s="17">
      <c r="A11" s="32" t="n">
        <v>4.5</v>
      </c>
      <c r="B11" s="32" t="n">
        <v>45</v>
      </c>
      <c r="C11" s="33" t="inlineStr">
        <is>
          <t>CBM≈-15%
Vf≈4.50
Rischio misconcezioni / confidenza fuori bersaglio
Scegli 3 risposte sbagliate e riscrivile con regola/criterio: se non trovi la regola, la prossima volta confidenza bassa.</t>
        </is>
      </c>
      <c r="D11" s="34" t="inlineStr">
        <is>
          <t>CBM≈27%
Vf≈4.50
Inconsapevolezza marcata (calibrazione scarsa)
Per ogni domanda: scrivi 1 riga di motivazione. Se non la sai scrivere, confidenza bassa senza vergogna.</t>
        </is>
      </c>
      <c r="E11" s="35" t="inlineStr">
        <is>
          <t>CBM≈36%
Vf≈4.50
Incertezza / calibrazione da migliorare
Allenati con un controllo: 'posso spiegare in 10 secondi perché?' Se sì alza, se no abbassa la confidenza.</t>
        </is>
      </c>
      <c r="F11" s="36" t="inlineStr">
        <is>
          <t>CBM≈45%
Vf≈4.50
Calibrazione minima OK
Obiettivo: aumentare la precisione delle motivazioni (non solo la risposta) per salire di livello.</t>
        </is>
      </c>
      <c r="G11" s="37" t="inlineStr">
        <is>
          <t>CBM≈58%
Vf≈4.50
Buona calibrazione (sa e lo sa)
Consolida: rivedi 2 errori e scrivi la 'regola d'oro' che li evita.</t>
        </is>
      </c>
      <c r="H11" s="38" t="inlineStr">
        <is>
          <t>CBM≈72%
Vf≈4.50
Consapevolezza alta (molto ben tarato)
Fai un passo in più: spiega a un compagno il criterio (insegnare = super test).</t>
        </is>
      </c>
      <c r="I11" s="39" t="inlineStr">
        <is>
          <t>CBM≈135%
Vf≈4.50
Consapevolezza eccellente
Sfida extra: prova a individuare i casi limite e le eccezioni (rafforza il pensiero critico).</t>
        </is>
      </c>
    </row>
    <row r="12" ht="78" customHeight="1" s="17">
      <c r="A12" s="32" t="n">
        <v>5</v>
      </c>
      <c r="B12" s="32" t="n">
        <v>50</v>
      </c>
      <c r="C12" s="33" t="inlineStr">
        <is>
          <t>CBM≈-10%
Vf≈3.00
Rischio misconcezioni / confidenza fuori bersaglio
Scegli 3 risposte sbagliate e riscrivile con regola/criterio: se non trovi la regola, la prossima volta confidenza bassa.</t>
        </is>
      </c>
      <c r="D12" s="34" t="inlineStr">
        <is>
          <t>CBM≈32%
Vf≈4.05
Inconsapevolezza marcata (calibrazione scarsa)
Per ogni domanda: scrivi 1 riga di motivazione. Se non la sai scrivere, confidenza bassa senza vergogna.</t>
        </is>
      </c>
      <c r="E12" s="35" t="inlineStr">
        <is>
          <t>CBM≈41%
Vf≈4.28
Incertezza / calibrazione da migliorare
Allenati con un controllo: 'posso spiegare in 10 secondi perché?' Se sì alza, se no abbassa la confidenza.</t>
        </is>
      </c>
      <c r="F12" s="36" t="inlineStr">
        <is>
          <t>CBM≈50%
Vf≈4.50
Calibrazione minima OK
Obiettivo: aumentare la precisione delle motivazioni (non solo la risposta) per salire di livello.</t>
        </is>
      </c>
      <c r="G12" s="37" t="inlineStr">
        <is>
          <t>CBM≈65%
Vf≈5.03
Buona calibrazione (sa e lo sa)
Consolida: rivedi 2 errori e scrivi la 'regola d'oro' che li evita.</t>
        </is>
      </c>
      <c r="H12" s="38" t="inlineStr">
        <is>
          <t>CBM≈80%
Vf≈5.55
Consapevolezza alta (molto ben tarato)
Fai un passo in più: spiega a un compagno il criterio (insegnare = super test).</t>
        </is>
      </c>
      <c r="I12" s="39" t="inlineStr">
        <is>
          <t>CBM≈150%
Vf≈8.00
Consapevolezza eccellente
Sfida extra: prova a individuare i casi limite e le eccezioni (rafforza il pensiero critico).</t>
        </is>
      </c>
    </row>
    <row r="13" ht="78" customHeight="1" s="17">
      <c r="A13" s="32" t="n">
        <v>5.5</v>
      </c>
      <c r="B13" s="32" t="n">
        <v>55</v>
      </c>
      <c r="C13" s="33" t="inlineStr">
        <is>
          <t>CBM≈-5%
Vf≈3.50
Rischio misconcezioni / confidenza fuori bersaglio
Scegli 3 risposte sbagliate e riscrivile con regola/criterio: se non trovi la regola, la prossima volta confidenza bassa.</t>
        </is>
      </c>
      <c r="D13" s="34" t="inlineStr">
        <is>
          <t>CBM≈37%
Vf≈4.55
Inconsapevolezza marcata (calibrazione scarsa)
Per ogni domanda: scrivi 1 riga di motivazione. Se non la sai scrivere, confidenza bassa senza vergogna.</t>
        </is>
      </c>
      <c r="E13" s="35" t="inlineStr">
        <is>
          <t>CBM≈46%
Vf≈4.78
Incertezza / calibrazione da migliorare
Allenati con un controllo: 'posso spiegare in 10 secondi perché?' Se sì alza, se no abbassa la confidenza.</t>
        </is>
      </c>
      <c r="F13" s="36" t="inlineStr">
        <is>
          <t>CBM≈55%
Vf≈5.00
Calibrazione minima OK
Obiettivo: aumentare la precisione delle motivazioni (non solo la risposta) per salire di livello.</t>
        </is>
      </c>
      <c r="G13" s="37" t="inlineStr">
        <is>
          <t>CBM≈72%
Vf≈5.53
Buona calibrazione (sa e lo sa)
Consolida: rivedi 2 errori e scrivi la 'regola d'oro' che li evita.</t>
        </is>
      </c>
      <c r="H13" s="38" t="inlineStr">
        <is>
          <t>CBM≈88%
Vf≈6.05
Consapevolezza alta (molto ben tarato)
Fai un passo in più: spiega a un compagno il criterio (insegnare = super test).</t>
        </is>
      </c>
      <c r="I13" s="39" t="inlineStr">
        <is>
          <t>CBM≈165%
Vf≈8.50
Consapevolezza eccellente
Sfida extra: prova a individuare i casi limite e le eccezioni (rafforza il pensiero critico).</t>
        </is>
      </c>
    </row>
    <row r="14" ht="78" customHeight="1" s="17">
      <c r="A14" s="32" t="n">
        <v>6</v>
      </c>
      <c r="B14" s="32" t="n">
        <v>60</v>
      </c>
      <c r="C14" s="33" t="inlineStr">
        <is>
          <t>CBM≈0%
Vf≈4.00
Rischio misconcezioni / confidenza fuori bersaglio
Scegli 3 risposte sbagliate e riscrivile con regola/criterio: se non trovi la regola, la prossima volta confidenza bassa.</t>
        </is>
      </c>
      <c r="D14" s="34" t="inlineStr">
        <is>
          <t>CBM≈42%
Vf≈5.05
Inconsapevolezza marcata (calibrazione scarsa)
Per ogni domanda: scrivi 1 riga di motivazione. Se non la sai scrivere, confidenza bassa senza vergogna.</t>
        </is>
      </c>
      <c r="E14" s="35" t="inlineStr">
        <is>
          <t>CBM≈51%
Vf≈5.28
Incertezza / calibrazione da migliorare
Allenati con un controllo: 'posso spiegare in 10 secondi perché?' Se sì alza, se no abbassa la confidenza.</t>
        </is>
      </c>
      <c r="F14" s="36" t="inlineStr">
        <is>
          <t>CBM≈60%
Vf≈5.50
Calibrazione minima OK
Obiettivo: aumentare la precisione delle motivazioni (non solo la risposta) per salire di livello.</t>
        </is>
      </c>
      <c r="G14" s="37" t="inlineStr">
        <is>
          <t>CBM≈78%
Vf≈6.03
Buona calibrazione (sa e lo sa)
Consolida: rivedi 2 errori e scrivi la 'regola d'oro' che li evita.</t>
        </is>
      </c>
      <c r="H14" s="38" t="inlineStr">
        <is>
          <t>CBM≈96%
Vf≈6.55
Consapevolezza alta (molto ben tarato)
Fai un passo in più: spiega a un compagno il criterio (insegnare = super test).</t>
        </is>
      </c>
      <c r="I14" s="39" t="inlineStr">
        <is>
          <t>CBM≈180%
Vf≈9.00
Consapevolezza eccellente
Sfida extra: prova a individuare i casi limite e le eccezioni (rafforza il pensiero critico).</t>
        </is>
      </c>
    </row>
    <row r="15" ht="78" customHeight="1" s="17">
      <c r="A15" s="32" t="n">
        <v>6.5</v>
      </c>
      <c r="B15" s="32" t="n">
        <v>65</v>
      </c>
      <c r="C15" s="33" t="inlineStr">
        <is>
          <t>CBM≈5%
Vf≈4.50
Rischio misconcezioni / confidenza fuori bersaglio
Scegli 3 risposte sbagliate e riscrivile con regola/criterio: se non trovi la regola, la prossima volta confidenza bassa.</t>
        </is>
      </c>
      <c r="D15" s="34" t="inlineStr">
        <is>
          <t>CBM≈47%
Vf≈5.55
Inconsapevolezza marcata (calibrazione scarsa)
Per ogni domanda: scrivi 1 riga di motivazione. Se non la sai scrivere, confidenza bassa senza vergogna.</t>
        </is>
      </c>
      <c r="E15" s="35" t="inlineStr">
        <is>
          <t>CBM≈56%
Vf≈5.78
Incertezza / calibrazione da migliorare
Allenati con un controllo: 'posso spiegare in 10 secondi perché?' Se sì alza, se no abbassa la confidenza.</t>
        </is>
      </c>
      <c r="F15" s="36" t="inlineStr">
        <is>
          <t>CBM≈65%
Vf≈6.00
Calibrazione minima OK
Obiettivo: aumentare la precisione delle motivazioni (non solo la risposta) per salire di livello.</t>
        </is>
      </c>
      <c r="G15" s="37" t="inlineStr">
        <is>
          <t>CBM≈84%
Vf≈6.53
Buona calibrazione (sa e lo sa)
Consolida: rivedi 2 errori e scrivi la 'regola d'oro' che li evita.</t>
        </is>
      </c>
      <c r="H15" s="38" t="inlineStr">
        <is>
          <t>CBM≈104%
Vf≈7.05
Consapevolezza alta (molto ben tarato)
Fai un passo in più: spiega a un compagno il criterio (insegnare = super test).</t>
        </is>
      </c>
      <c r="I15" s="39" t="inlineStr">
        <is>
          <t>CBM≈195%
Vf≈9.50
Consapevolezza eccellente
Sfida extra: prova a individuare i casi limite e le eccezioni (rafforza il pensiero critico).</t>
        </is>
      </c>
    </row>
    <row r="16" ht="78" customHeight="1" s="17">
      <c r="A16" s="32" t="n">
        <v>7</v>
      </c>
      <c r="B16" s="32" t="n">
        <v>70</v>
      </c>
      <c r="C16" s="33" t="inlineStr">
        <is>
          <t>CBM≈10%
Vf≈5.00
Rischio misconcezioni / confidenza fuori bersaglio
Scegli 3 risposte sbagliate e riscrivile con regola/criterio: se non trovi la regola, la prossima volta confidenza bassa.</t>
        </is>
      </c>
      <c r="D16" s="34" t="inlineStr">
        <is>
          <t>CBM≈59%
Vf≈6.05
Inconsapevolezza marcata (calibrazione scarsa)
Per ogni domanda: scrivi 1 riga di motivazione. Se non la sai scrivere, confidenza bassa senza vergogna.</t>
        </is>
      </c>
      <c r="E16" s="35" t="inlineStr">
        <is>
          <t>CBM≈70%
Vf≈6.28
Incertezza / calibrazione da migliorare
Allenati con un controllo: 'posso spiegare in 10 secondi perché?' Se sì alza, se no abbassa la confidenza.</t>
        </is>
      </c>
      <c r="F16" s="36" t="inlineStr">
        <is>
          <t>CBM≈80%
Vf≈6.50
Calibrazione minima OK
Obiettivo: aumentare la precisione delle motivazioni (non solo la risposta) per salire di livello.</t>
        </is>
      </c>
      <c r="G16" s="37" t="inlineStr">
        <is>
          <t>CBM≈100%
Vf≈7.03
Buona calibrazione (sa e lo sa)
Consolida: rivedi 2 errori e scrivi la 'regola d'oro' che li evita.</t>
        </is>
      </c>
      <c r="H16" s="38" t="inlineStr">
        <is>
          <t>CBM≈119%
Vf≈7.55
Consapevolezza alta (molto ben tarato)
Fai un passo in più: spiega a un compagno il criterio (insegnare = super test).</t>
        </is>
      </c>
      <c r="I16" s="39" t="inlineStr">
        <is>
          <t>CBM≈210%
Vf≈10.00
Consapevolezza eccellente
Sfida extra: prova a individuare i casi limite e le eccezioni (rafforza il pensiero critico).</t>
        </is>
      </c>
    </row>
    <row r="17" ht="78" customHeight="1" s="17">
      <c r="A17" s="32" t="n">
        <v>7.5</v>
      </c>
      <c r="B17" s="32" t="n">
        <v>75</v>
      </c>
      <c r="C17" s="33" t="inlineStr">
        <is>
          <t>CBM≈15%
Vf≈5.50
Rischio misconcezioni / confidenza fuori bersaglio
Scegli 3 risposte sbagliate e riscrivile con regola/criterio: se non trovi la regola, la prossima volta confidenza bassa.</t>
        </is>
      </c>
      <c r="D17" s="34" t="inlineStr">
        <is>
          <t>CBM≈74%
Vf≈6.55
Inconsapevolezza marcata (calibrazione scarsa)
Per ogni domanda: scrivi 1 riga di motivazione. Se non la sai scrivere, confidenza bassa senza vergogna.</t>
        </is>
      </c>
      <c r="E17" s="35" t="inlineStr">
        <is>
          <t>CBM≈87%
Vf≈6.78
Incertezza / calibrazione da migliorare
Allenati con un controllo: 'posso spiegare in 10 secondi perché?' Se sì alza, se no abbassa la confidenza.</t>
        </is>
      </c>
      <c r="F17" s="36" t="inlineStr">
        <is>
          <t>CBM≈100%
Vf≈7.00
Calibrazione minima OK
Obiettivo: aumentare la precisione delle motivazioni (non solo la risposta) per salire di livello.</t>
        </is>
      </c>
      <c r="G17" s="37" t="inlineStr">
        <is>
          <t>CBM≈119%
Vf≈7.53
Buona calibrazione (sa e lo sa)
Consolida: rivedi 2 errori e scrivi la 'regola d'oro' che li evita.</t>
        </is>
      </c>
      <c r="H17" s="38" t="inlineStr">
        <is>
          <t>CBM≈138%
Vf≈8.05
Consapevolezza alta (molto ben tarato)
Fai un passo in più: spiega a un compagno il criterio (insegnare = super test).</t>
        </is>
      </c>
      <c r="I17" s="39" t="inlineStr">
        <is>
          <t>CBM≈225%
Vf≈10.00
Consapevolezza eccellente
Sfida extra: prova a individuare i casi limite e le eccezioni (rafforza il pensiero critico).</t>
        </is>
      </c>
    </row>
    <row r="18" ht="78" customHeight="1" s="17">
      <c r="A18" s="32" t="n">
        <v>8</v>
      </c>
      <c r="B18" s="32" t="n">
        <v>80</v>
      </c>
      <c r="C18" s="33" t="inlineStr">
        <is>
          <t>CBM≈20%
Vf≈6.00
Rischio misconcezioni / confidenza fuori bersaglio
Scegli 3 risposte sbagliate e riscrivile con regola/criterio: se non trovi la regola, la prossima volta confidenza bassa.</t>
        </is>
      </c>
      <c r="D18" s="34" t="inlineStr">
        <is>
          <t>CBM≈90%
Vf≈7.05
Inconsapevolezza marcata (calibrazione scarsa)
Per ogni domanda: scrivi 1 riga di motivazione. Se non la sai scrivere, confidenza bassa senza vergogna.</t>
        </is>
      </c>
      <c r="E18" s="35" t="inlineStr">
        <is>
          <t>CBM≈105%
Vf≈7.28
Incertezza / calibrazione da migliorare
Allenati con un controllo: 'posso spiegare in 10 secondi perché?' Se sì alza, se no abbassa la confidenza.</t>
        </is>
      </c>
      <c r="F18" s="36" t="inlineStr">
        <is>
          <t>CBM≈120%
Vf≈7.50
Calibrazione minima OK
Obiettivo: aumentare la precisione delle motivazioni (non solo la risposta) per salire di livello.</t>
        </is>
      </c>
      <c r="G18" s="37" t="inlineStr">
        <is>
          <t>CBM≈138%
Vf≈8.03
Buona calibrazione (sa e lo sa)
Consolida: rivedi 2 errori e scrivi la 'regola d'oro' che li evita.</t>
        </is>
      </c>
      <c r="H18" s="38" t="inlineStr">
        <is>
          <t>CBM≈156%
Vf≈8.55
Consapevolezza alta (molto ben tarato)
Fai un passo in più: spiega a un compagno il criterio (insegnare = super test).</t>
        </is>
      </c>
      <c r="I18" s="39" t="inlineStr">
        <is>
          <t>CBM≈240%
Vf≈10.00
Consapevolezza eccellente
Sfida extra: prova a individuare i casi limite e le eccezioni (rafforza il pensiero critico).</t>
        </is>
      </c>
    </row>
    <row r="19" ht="78" customHeight="1" s="17">
      <c r="A19" s="32" t="n">
        <v>8.5</v>
      </c>
      <c r="B19" s="32" t="n">
        <v>85</v>
      </c>
      <c r="C19" s="33" t="inlineStr">
        <is>
          <t>CBM≈25%
Vf≈6.50
Rischio misconcezioni / confidenza fuori bersaglio
Scegli 3 risposte sbagliate e riscrivile con regola/criterio: se non trovi la regola, la prossima volta confidenza bassa.</t>
        </is>
      </c>
      <c r="D19" s="34" t="inlineStr">
        <is>
          <t>CBM≈123%
Vf≈7.55
Inconsapevolezza marcata (calibrazione scarsa)
Per ogni domanda: scrivi 1 riga di motivazione. Se non la sai scrivere, confidenza bassa senza vergogna.</t>
        </is>
      </c>
      <c r="E19" s="35" t="inlineStr">
        <is>
          <t>CBM≈144%
Vf≈7.78
Incertezza / calibrazione da migliorare
Allenati con un controllo: 'posso spiegare in 10 secondi perché?' Se sì alza, se no abbassa la confidenza.</t>
        </is>
      </c>
      <c r="F19" s="36" t="inlineStr">
        <is>
          <t>CBM≈165%
Vf≈8.00
Calibrazione minima OK
Obiettivo: aumentare la precisione delle motivazioni (non solo la risposta) per salire di livello.</t>
        </is>
      </c>
      <c r="G19" s="37" t="inlineStr">
        <is>
          <t>CBM≈178%
Vf≈8.53
Buona calibrazione (sa e lo sa)
Consolida: rivedi 2 errori e scrivi la 'regola d'oro' che li evita.</t>
        </is>
      </c>
      <c r="H19" s="38" t="inlineStr">
        <is>
          <t>CBM≈192%
Vf≈9.05
Consapevolezza alta (molto ben tarato)
Fai un passo in più: spiega a un compagno il criterio (insegnare = super test).</t>
        </is>
      </c>
      <c r="I19" s="39" t="inlineStr">
        <is>
          <t>CBM≈255%
Vf≈10.00
Consapevolezza eccellente
Sfida extra: prova a individuare i casi limite e le eccezioni (rafforza il pensiero critico).</t>
        </is>
      </c>
    </row>
    <row r="20" ht="78" customHeight="1" s="17">
      <c r="A20" s="32" t="n">
        <v>9</v>
      </c>
      <c r="B20" s="32" t="n">
        <v>90</v>
      </c>
      <c r="C20" s="33" t="inlineStr">
        <is>
          <t>CBM≈30%
Vf≈7.00
Rischio misconcezioni / confidenza fuori bersaglio
Scegli 3 risposte sbagliate e riscrivile con regola/criterio: se non trovi la regola, la prossima volta confidenza bassa.</t>
        </is>
      </c>
      <c r="D20" s="34" t="inlineStr">
        <is>
          <t>CBM≈156%
Vf≈8.05
Inconsapevolezza marcata (calibrazione scarsa)
Per ogni domanda: scrivi 1 riga di motivazione. Se non la sai scrivere, confidenza bassa senza vergogna.</t>
        </is>
      </c>
      <c r="E20" s="35" t="inlineStr">
        <is>
          <t>CBM≈183%
Vf≈8.28
Incertezza / calibrazione da migliorare
Allenati con un controllo: 'posso spiegare in 10 secondi perché?' Se sì alza, se no abbassa la confidenza.</t>
        </is>
      </c>
      <c r="F20" s="36" t="inlineStr">
        <is>
          <t>CBM≈210%
Vf≈8.50
Calibrazione minima OK
Obiettivo: aumentare la precisione delle motivazioni (non solo la risposta) per salire di livello.</t>
        </is>
      </c>
      <c r="G20" s="37" t="inlineStr">
        <is>
          <t>CBM≈219%
Vf≈9.03
Buona calibrazione (sa e lo sa)
Consolida: rivedi 2 errori e scrivi la 'regola d'oro' che li evita.</t>
        </is>
      </c>
      <c r="H20" s="38" t="inlineStr">
        <is>
          <t>CBM≈228%
Vf≈9.55
Consapevolezza alta (molto ben tarato)
Fai un passo in più: spiega a un compagno il criterio (insegnare = super test).</t>
        </is>
      </c>
      <c r="I20" s="39" t="inlineStr">
        <is>
          <t>CBM≈270%
Vf≈10.00
Consapevolezza eccellente
Sfida extra: prova a individuare i casi limite e le eccezioni (rafforza il pensiero critico).</t>
        </is>
      </c>
    </row>
    <row r="21" ht="78" customHeight="1" s="17">
      <c r="A21" s="32" t="n">
        <v>9.5</v>
      </c>
      <c r="B21" s="32" t="n">
        <v>95</v>
      </c>
      <c r="C21" s="33" t="inlineStr">
        <is>
          <t>CBM≈35%
Vf≈7.50
Rischio misconcezioni / confidenza fuori bersaglio
Scegli 3 risposte sbagliate e riscrivile con regola/criterio: se non trovi la regola, la prossima volta confidenza bassa.</t>
        </is>
      </c>
      <c r="D21" s="34" t="inlineStr">
        <is>
          <t>CBM≈189%
Vf≈8.55
Inconsapevolezza marcata (calibrazione scarsa)
Per ogni domanda: scrivi 1 riga di motivazione. Se non la sai scrivere, confidenza bassa senza vergogna.</t>
        </is>
      </c>
      <c r="E21" s="35" t="inlineStr">
        <is>
          <t>CBM≈222%
Vf≈8.78
Incertezza / calibrazione da migliorare
Allenati con un controllo: 'posso spiegare in 10 secondi perché?' Se sì alza, se no abbassa la confidenza.</t>
        </is>
      </c>
      <c r="F21" s="36" t="inlineStr">
        <is>
          <t>CBM≈255%
Vf≈9.00
Calibrazione minima OK
Obiettivo: aumentare la precisione delle motivazioni (non solo la risposta) per salire di livello.</t>
        </is>
      </c>
      <c r="G21" s="37" t="inlineStr">
        <is>
          <t>CBM≈260%
Vf≈9.53
Buona calibrazione (sa e lo sa)
Consolida: rivedi 2 errori e scrivi la 'regola d'oro' che li evita.</t>
        </is>
      </c>
      <c r="H21" s="38" t="inlineStr">
        <is>
          <t>CBM≈264%
Vf≈10.00
Consapevolezza alta (molto ben tarato)
Fai un passo in più: spiega a un compagno il criterio (insegnare = super test).</t>
        </is>
      </c>
      <c r="I21" s="39" t="inlineStr">
        <is>
          <t>CBM≈285%
Vf≈10.00
Consapevolezza eccellente
Sfida extra: prova a individuare i casi limite e le eccezioni (rafforza il pensiero critico).</t>
        </is>
      </c>
    </row>
    <row r="22" ht="78" customHeight="1" s="17">
      <c r="A22" s="32" t="n">
        <v>10</v>
      </c>
      <c r="B22" s="32" t="n">
        <v>100</v>
      </c>
      <c r="C22" s="33" t="inlineStr">
        <is>
          <t>CBM≈40%
Vf≈8.00
Rischio misconcezioni / confidenza fuori bersaglio
Scegli 3 risposte sbagliate e riscrivile con regola/criterio: se non trovi la regola, la prossima volta confidenza bassa.</t>
        </is>
      </c>
      <c r="D22" s="34" t="inlineStr">
        <is>
          <t>CBM≈222%
Vf≈9.05
Inconsapevolezza marcata (calibrazione scarsa)
Per ogni domanda: scrivi 1 riga di motivazione. Se non la sai scrivere, confidenza bassa senza vergogna.</t>
        </is>
      </c>
      <c r="E22" s="35" t="inlineStr">
        <is>
          <t>CBM≈261%
Vf≈9.28
Incertezza / calibrazione da migliorare
Allenati con un controllo: 'posso spiegare in 10 secondi perché?' Se sì alza, se no abbassa la confidenza.</t>
        </is>
      </c>
      <c r="F22" s="36" t="inlineStr">
        <is>
          <t>CBM≈300%
Vf≈10.00
Calibrazione minima OK
Obiettivo: aumentare la precisione delle motivazioni (non solo la risposta) per salire di livello.</t>
        </is>
      </c>
      <c r="G22" s="37" t="inlineStr">
        <is>
          <t>CBM≈300%
Vf≈10.00
Buona calibrazione (sa e lo sa)
Consolida: rivedi 2 errori e scrivi la 'regola d'oro' che li evita.</t>
        </is>
      </c>
      <c r="H22" s="38" t="inlineStr">
        <is>
          <t>CBM≈300%
Vf≈10.00
Consapevolezza alta (molto ben tarato)
Fai un passo in più: spiega a un compagno il criterio (insegnare = super test).</t>
        </is>
      </c>
      <c r="I22" s="39" t="inlineStr">
        <is>
          <t>CBM≈300%
Vf≈10.00
Consapevolezza eccellente
Sfida extra: prova a individuare i casi limite e le eccezioni (rafforza il pensiero critico).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17" min="1" max="1"/>
    <col width="74" customWidth="1" style="17" min="2" max="2"/>
    <col width="3" customWidth="1" style="17" min="3" max="3"/>
    <col width="22" customWidth="1" style="17" min="4" max="4"/>
    <col width="14" customWidth="1" style="17" min="5" max="5"/>
    <col width="14" customWidth="1" style="17" min="6" max="6"/>
    <col hidden="1" width="13" customWidth="1" style="17" min="7" max="7"/>
    <col hidden="1" width="13" customWidth="1" style="17" min="8" max="8"/>
    <col hidden="1" width="13" customWidth="1" style="17" min="9" max="9"/>
    <col hidden="1" width="13" customWidth="1" style="17" min="10" max="10"/>
    <col hidden="1" width="13" customWidth="1" style="17" min="11" max="11"/>
    <col hidden="1" width="13" customWidth="1" style="17" min="12" max="12"/>
    <col hidden="1" width="13" customWidth="1" style="17" min="13" max="13"/>
    <col hidden="1" width="13" customWidth="1" style="17" min="14" max="14"/>
    <col hidden="1" width="13" customWidth="1" style="17" min="15" max="15"/>
    <col hidden="1" width="13" customWidth="1" style="17" min="16" max="16"/>
    <col hidden="1" width="13" customWidth="1" style="17" min="17" max="17"/>
    <col hidden="1" width="13" customWidth="1" style="17" min="18" max="18"/>
    <col hidden="1" width="13" customWidth="1" style="17" min="19" max="19"/>
  </cols>
  <sheetData>
    <row r="1" ht="24" customHeight="1" s="17">
      <c r="A1" s="18" t="inlineStr">
        <is>
          <t>Lookup: inserisci (Voto accuracy, CBM%) → ottieni valutazione più vicina nella mappa</t>
        </is>
      </c>
      <c r="G1" s="0" t="n"/>
    </row>
    <row r="2">
      <c r="G2" s="52" t="n"/>
    </row>
    <row r="3">
      <c r="A3" s="19" t="inlineStr">
        <is>
          <t>Input</t>
        </is>
      </c>
      <c r="D3" s="19" t="inlineStr">
        <is>
          <t>Legenda livelli CBM</t>
        </is>
      </c>
      <c r="G3" s="52" t="n"/>
    </row>
    <row r="4">
      <c r="A4" s="40" t="inlineStr">
        <is>
          <t>Voto accuracy (0–10)</t>
        </is>
      </c>
      <c r="B4" s="41" t="n">
        <v>6</v>
      </c>
      <c r="D4" s="20" t="inlineStr">
        <is>
          <t>Molto sotto (y_low)</t>
        </is>
      </c>
      <c r="G4" s="52" t="n"/>
    </row>
    <row r="5">
      <c r="A5" s="40" t="inlineStr">
        <is>
          <t>CBM%</t>
        </is>
      </c>
      <c r="B5" s="41" t="n">
        <v>120</v>
      </c>
      <c r="D5" s="20" t="inlineStr">
        <is>
          <t>Sotto 2</t>
        </is>
      </c>
      <c r="G5" s="52" t="n"/>
    </row>
    <row r="6">
      <c r="A6" s="20" t="inlineStr">
        <is>
          <t>Accuracy% (calcolato)</t>
        </is>
      </c>
      <c r="B6" s="42">
        <f>B4*10</f>
        <v/>
      </c>
      <c r="D6" s="20" t="inlineStr">
        <is>
          <t>Sotto 1</t>
        </is>
      </c>
      <c r="G6" s="52" t="n"/>
    </row>
    <row r="7">
      <c r="A7" s="20" t="n"/>
      <c r="B7" s="24" t="n"/>
      <c r="D7" s="20" t="inlineStr">
        <is>
          <t>Sulla spezzata (y_min)</t>
        </is>
      </c>
      <c r="G7" s="52" t="n"/>
    </row>
    <row r="8">
      <c r="A8" s="43" t="inlineStr">
        <is>
          <t>Risultato (punto più vicino)</t>
        </is>
      </c>
      <c r="B8" s="29" t="n"/>
      <c r="D8" s="20" t="inlineStr">
        <is>
          <t>Sopra 1</t>
        </is>
      </c>
      <c r="G8" s="52" t="n"/>
    </row>
    <row r="9">
      <c r="A9" s="40" t="inlineStr">
        <is>
          <t>Distanza^2 minima</t>
        </is>
      </c>
      <c r="B9" s="44">
        <f>MIN($S$25:$S$45)</f>
        <v/>
      </c>
      <c r="D9" s="20" t="inlineStr">
        <is>
          <t>Sopra 2</t>
        </is>
      </c>
      <c r="G9" s="52" t="n"/>
    </row>
    <row r="10">
      <c r="A10" s="40" t="inlineStr">
        <is>
          <t>Indice candidato (1=V-,2=V0,3=V+)</t>
        </is>
      </c>
      <c r="B10" s="29">
        <f>INT((MATCH($B$9,$S$25:$S$45,0)-1)/7)+1</f>
        <v/>
      </c>
      <c r="D10" s="20" t="inlineStr">
        <is>
          <t>Retta consapevolezza (y_max)</t>
        </is>
      </c>
      <c r="G10" s="52" t="n"/>
    </row>
    <row r="11">
      <c r="A11" s="40" t="inlineStr">
        <is>
          <t>LevelID (1..7)</t>
        </is>
      </c>
      <c r="B11" s="29">
        <f>MOD(MATCH($B$9,$S$25:$S$45,0)-1,7)+1</f>
        <v/>
      </c>
      <c r="G11" s="52" t="n"/>
    </row>
    <row r="12">
      <c r="A12" s="40" t="inlineStr">
        <is>
          <t>V_acc mappato</t>
        </is>
      </c>
      <c r="B12" s="44">
        <f>CHOOSE($B$10,$E$20,$E$21,$E$22)</f>
        <v/>
      </c>
      <c r="G12" s="52" t="n"/>
    </row>
    <row r="13">
      <c r="A13" s="40" t="inlineStr">
        <is>
          <t>CBM% mappato</t>
        </is>
      </c>
      <c r="B13" s="44">
        <f>INDEX($F$20:$L$22,$B$10,$B$11)</f>
        <v/>
      </c>
      <c r="G13" s="52" t="n"/>
    </row>
    <row r="14">
      <c r="A14" s="40" t="inlineStr">
        <is>
          <t>Voto finale stimato</t>
        </is>
      </c>
      <c r="B14" s="44">
        <f>VLOOKUP($B$18,Data_mappa!$O$2:$S$134,2,FALSE)</f>
        <v/>
      </c>
      <c r="G14" s="52" t="n"/>
    </row>
    <row r="15">
      <c r="A15" s="40" t="inlineStr">
        <is>
          <t>Profilo</t>
        </is>
      </c>
      <c r="B15" s="45">
        <f>VLOOKUP($B$18,Data_mappa!$O$2:$S$134,3,FALSE)</f>
        <v/>
      </c>
      <c r="G15" s="52" t="n"/>
    </row>
    <row r="16" ht="44" customHeight="1" s="17">
      <c r="A16" s="40" t="inlineStr">
        <is>
          <t>Feedback (breve)</t>
        </is>
      </c>
      <c r="B16" s="29">
        <f>VLOOKUP($B$18,Data_mappa!$O$2:$S$134,4,FALSE)</f>
        <v/>
      </c>
      <c r="G16" s="52" t="n"/>
    </row>
    <row r="17" ht="86" customHeight="1" s="17">
      <c r="A17" s="40" t="inlineStr">
        <is>
          <t>Feedback (esteso)</t>
        </is>
      </c>
      <c r="B17" s="29">
        <f>VLOOKUP($B$18,Data_mappa!$O$2:$S$134,5,FALSE)</f>
        <v/>
      </c>
      <c r="G17" s="52" t="n"/>
    </row>
    <row r="18">
      <c r="A18" s="0" t="inlineStr">
        <is>
          <t>Key</t>
        </is>
      </c>
      <c r="B18" s="0">
        <f>TEXT($B$12,"0.0")&amp;"|"&amp;$B$19</f>
        <v/>
      </c>
      <c r="G18" s="52" t="n"/>
    </row>
    <row r="19" hidden="1" s="17">
      <c r="A19" s="53" t="inlineStr">
        <is>
          <t>Livello (da indice)</t>
        </is>
      </c>
      <c r="B19" s="24">
        <f>CHOOSE($B$11,"Molto sotto (y_low)","Sotto 2","Sotto 1","Sulla spezzata (y_min)","Sopra 1","Sopra 2","Retta consapevolezza (y_max)")</f>
        <v/>
      </c>
      <c r="C19" s="24" t="n"/>
      <c r="D19" s="24" t="n"/>
      <c r="E19" s="49" t="inlineStr">
        <is>
          <t>V_acc candidati</t>
        </is>
      </c>
      <c r="F19" s="53" t="inlineStr">
        <is>
          <t>Molto sotto (y_low)</t>
        </is>
      </c>
      <c r="G19" s="54" t="inlineStr">
        <is>
          <t>Sotto 2</t>
        </is>
      </c>
      <c r="H19" s="53" t="inlineStr">
        <is>
          <t>Sotto 1</t>
        </is>
      </c>
      <c r="I19" s="53" t="inlineStr">
        <is>
          <t>Sulla spezzata (y_min)</t>
        </is>
      </c>
      <c r="J19" s="53" t="inlineStr">
        <is>
          <t>Sopra 1</t>
        </is>
      </c>
      <c r="K19" s="53" t="inlineStr">
        <is>
          <t>Sopra 2</t>
        </is>
      </c>
      <c r="L19" s="53" t="inlineStr">
        <is>
          <t>Retta consapevolezza (y_max)</t>
        </is>
      </c>
    </row>
    <row r="20" hidden="1" s="17">
      <c r="A20" s="24" t="inlineStr">
        <is>
          <t>V-</t>
        </is>
      </c>
      <c r="B20" s="24" t="n"/>
      <c r="C20" s="24" t="n"/>
      <c r="D20" s="24" t="n"/>
      <c r="E20" s="42">
        <f>MAX(1,ROUND($B$4/0.5,0)*0.5-0.5)</f>
        <v/>
      </c>
      <c r="F20" s="42">
        <f>P20</f>
        <v/>
      </c>
      <c r="G20" s="42">
        <f>N20-Parametri_mappa!$E$5*Q20</f>
        <v/>
      </c>
      <c r="H20" s="42">
        <f>N20-Parametri_mappa!$E$4*Q20</f>
        <v/>
      </c>
      <c r="I20" s="42">
        <f>N20</f>
        <v/>
      </c>
      <c r="J20" s="42">
        <f>N20+Parametri_mappa!$E$4*R20</f>
        <v/>
      </c>
      <c r="K20" s="42">
        <f>N20+Parametri_mappa!$E$5*R20</f>
        <v/>
      </c>
      <c r="L20" s="42">
        <f>O20</f>
        <v/>
      </c>
      <c r="M20" s="0">
        <f>$E20*10</f>
        <v/>
      </c>
      <c r="N20" s="0">
        <f>IF(M20&lt;=66.6,M20,IF(M20&lt;=80,4*M20-200,9*M20-600))</f>
        <v/>
      </c>
      <c r="O20" s="0">
        <f>3*M20</f>
        <v/>
      </c>
      <c r="P20" s="0">
        <f>M20-60</f>
        <v/>
      </c>
      <c r="Q20" s="0">
        <f>N20-P20</f>
        <v/>
      </c>
      <c r="R20" s="0">
        <f>O20-N20</f>
        <v/>
      </c>
    </row>
    <row r="21" hidden="1" s="17">
      <c r="A21" s="24" t="inlineStr">
        <is>
          <t>V0</t>
        </is>
      </c>
      <c r="B21" s="24" t="n"/>
      <c r="C21" s="24" t="n"/>
      <c r="D21" s="24" t="n"/>
      <c r="E21" s="42">
        <f>ROUND($B$4/0.5,0)*0.5</f>
        <v/>
      </c>
      <c r="F21" s="42">
        <f>P21</f>
        <v/>
      </c>
      <c r="G21" s="42">
        <f>N21-Parametri_mappa!$E$5*Q21</f>
        <v/>
      </c>
      <c r="H21" s="42">
        <f>N21-Parametri_mappa!$E$4*Q21</f>
        <v/>
      </c>
      <c r="I21" s="42">
        <f>N21</f>
        <v/>
      </c>
      <c r="J21" s="42">
        <f>N21+Parametri_mappa!$E$4*R21</f>
        <v/>
      </c>
      <c r="K21" s="42">
        <f>N21+Parametri_mappa!$E$5*R21</f>
        <v/>
      </c>
      <c r="L21" s="42">
        <f>O21</f>
        <v/>
      </c>
      <c r="M21" s="0">
        <f>$E21*10</f>
        <v/>
      </c>
      <c r="N21" s="0">
        <f>IF(M21&lt;=66.6,M21,IF(M21&lt;=80,4*M21-200,9*M21-600))</f>
        <v/>
      </c>
      <c r="O21" s="0">
        <f>3*M21</f>
        <v/>
      </c>
      <c r="P21" s="0">
        <f>M21-60</f>
        <v/>
      </c>
      <c r="Q21" s="0">
        <f>N21-P21</f>
        <v/>
      </c>
      <c r="R21" s="0">
        <f>O21-N21</f>
        <v/>
      </c>
    </row>
    <row r="22" hidden="1" s="17">
      <c r="A22" s="24" t="inlineStr">
        <is>
          <t>V+</t>
        </is>
      </c>
      <c r="B22" s="24" t="n"/>
      <c r="C22" s="24" t="n"/>
      <c r="D22" s="24" t="n"/>
      <c r="E22" s="42">
        <f>MIN(10,ROUND($B$4/0.5,0)*0.5+0.5)</f>
        <v/>
      </c>
      <c r="F22" s="42">
        <f>P22</f>
        <v/>
      </c>
      <c r="G22" s="42">
        <f>N22-Parametri_mappa!$E$5*Q22</f>
        <v/>
      </c>
      <c r="H22" s="42">
        <f>N22-Parametri_mappa!$E$4*Q22</f>
        <v/>
      </c>
      <c r="I22" s="42">
        <f>N22</f>
        <v/>
      </c>
      <c r="J22" s="42">
        <f>N22+Parametri_mappa!$E$4*R22</f>
        <v/>
      </c>
      <c r="K22" s="42">
        <f>N22+Parametri_mappa!$E$5*R22</f>
        <v/>
      </c>
      <c r="L22" s="42">
        <f>O22</f>
        <v/>
      </c>
      <c r="M22" s="0">
        <f>$E22*10</f>
        <v/>
      </c>
      <c r="N22" s="0">
        <f>IF(M22&lt;=66.6,M22,IF(M22&lt;=80,4*M22-200,9*M22-600))</f>
        <v/>
      </c>
      <c r="O22" s="0">
        <f>3*M22</f>
        <v/>
      </c>
      <c r="P22" s="0">
        <f>M22-60</f>
        <v/>
      </c>
      <c r="Q22" s="0">
        <f>N22-P22</f>
        <v/>
      </c>
      <c r="R22" s="0">
        <f>O22-N22</f>
        <v/>
      </c>
    </row>
    <row r="23" hidden="1" s="17">
      <c r="A23" s="24" t="n"/>
      <c r="B23" s="24" t="n"/>
      <c r="C23" s="24" t="n"/>
      <c r="D23" s="24" t="n"/>
      <c r="E23" s="24" t="n"/>
      <c r="F23" s="24" t="n"/>
      <c r="G23" s="55" t="n"/>
      <c r="H23" s="24" t="n"/>
      <c r="I23" s="24" t="n"/>
      <c r="J23" s="24" t="n"/>
      <c r="K23" s="24" t="n"/>
      <c r="L23" s="24" t="n"/>
    </row>
    <row r="24" hidden="1" s="17">
      <c r="A24" s="24" t="n"/>
      <c r="B24" s="24" t="n"/>
      <c r="C24" s="24" t="n"/>
      <c r="D24" s="24" t="n"/>
      <c r="E24" s="49" t="inlineStr">
        <is>
          <t>dist2 (vs input)</t>
        </is>
      </c>
      <c r="F24" s="24" t="n"/>
      <c r="G24" s="55" t="n"/>
      <c r="H24" s="24" t="n"/>
      <c r="I24" s="24" t="n"/>
      <c r="J24" s="24" t="n"/>
      <c r="K24" s="24" t="n"/>
      <c r="L24" s="24" t="n"/>
      <c r="S24" s="0" t="inlineStr">
        <is>
          <t>flat</t>
        </is>
      </c>
    </row>
    <row r="25" hidden="1" s="17">
      <c r="A25" s="24" t="n"/>
      <c r="B25" s="24" t="n"/>
      <c r="C25" s="24" t="n"/>
      <c r="D25" s="24" t="n"/>
      <c r="E25" s="24" t="n"/>
      <c r="F25" s="55">
        <f>(( $E20-$B$4)/Parametri_mappa!$E$8)^2+((F20-$B$5)/Parametri_mappa!$E$9)^2</f>
        <v/>
      </c>
      <c r="G25" s="55">
        <f>(( $E20-$B$4)/Parametri_mappa!$E$8)^2+((G20-$B$5)/Parametri_mappa!$E$9)^2</f>
        <v/>
      </c>
      <c r="H25" s="55">
        <f>(( $E20-$B$4)/Parametri_mappa!$E$8)^2+((H20-$B$5)/Parametri_mappa!$E$9)^2</f>
        <v/>
      </c>
      <c r="I25" s="55">
        <f>(( $E20-$B$4)/Parametri_mappa!$E$8)^2+((I20-$B$5)/Parametri_mappa!$E$9)^2</f>
        <v/>
      </c>
      <c r="J25" s="55">
        <f>(( $E20-$B$4)/Parametri_mappa!$E$8)^2+((J20-$B$5)/Parametri_mappa!$E$9)^2</f>
        <v/>
      </c>
      <c r="K25" s="55">
        <f>(( $E20-$B$4)/Parametri_mappa!$E$8)^2+((K20-$B$5)/Parametri_mappa!$E$9)^2</f>
        <v/>
      </c>
      <c r="L25" s="55">
        <f>(( $E20-$B$4)/Parametri_mappa!$E$8)^2+((L20-$B$5)/Parametri_mappa!$E$9)^2</f>
        <v/>
      </c>
      <c r="S25" s="0">
        <f>F25</f>
        <v/>
      </c>
    </row>
    <row r="26" hidden="1" s="17">
      <c r="A26" s="24" t="n"/>
      <c r="B26" s="24" t="n"/>
      <c r="C26" s="24" t="n"/>
      <c r="D26" s="24" t="n"/>
      <c r="E26" s="24" t="n"/>
      <c r="F26" s="55">
        <f>(( $E21-$B$4)/Parametri_mappa!$E$8)^2+((F21-$B$5)/Parametri_mappa!$E$9)^2</f>
        <v/>
      </c>
      <c r="G26" s="55">
        <f>(( $E21-$B$4)/Parametri_mappa!$E$8)^2+((G21-$B$5)/Parametri_mappa!$E$9)^2</f>
        <v/>
      </c>
      <c r="H26" s="55">
        <f>(( $E21-$B$4)/Parametri_mappa!$E$8)^2+((H21-$B$5)/Parametri_mappa!$E$9)^2</f>
        <v/>
      </c>
      <c r="I26" s="55">
        <f>(( $E21-$B$4)/Parametri_mappa!$E$8)^2+((I21-$B$5)/Parametri_mappa!$E$9)^2</f>
        <v/>
      </c>
      <c r="J26" s="55">
        <f>(( $E21-$B$4)/Parametri_mappa!$E$8)^2+((J21-$B$5)/Parametri_mappa!$E$9)^2</f>
        <v/>
      </c>
      <c r="K26" s="55">
        <f>(( $E21-$B$4)/Parametri_mappa!$E$8)^2+((K21-$B$5)/Parametri_mappa!$E$9)^2</f>
        <v/>
      </c>
      <c r="L26" s="55">
        <f>(( $E21-$B$4)/Parametri_mappa!$E$8)^2+((L21-$B$5)/Parametri_mappa!$E$9)^2</f>
        <v/>
      </c>
      <c r="S26" s="0">
        <f>G25</f>
        <v/>
      </c>
    </row>
    <row r="27" hidden="1" s="17">
      <c r="A27" s="24" t="n"/>
      <c r="B27" s="24" t="n"/>
      <c r="C27" s="24" t="n"/>
      <c r="D27" s="24" t="n"/>
      <c r="E27" s="24" t="n"/>
      <c r="F27" s="55">
        <f>(( $E22-$B$4)/Parametri_mappa!$E$8)^2+((F22-$B$5)/Parametri_mappa!$E$9)^2</f>
        <v/>
      </c>
      <c r="G27" s="55">
        <f>(( $E22-$B$4)/Parametri_mappa!$E$8)^2+((G22-$B$5)/Parametri_mappa!$E$9)^2</f>
        <v/>
      </c>
      <c r="H27" s="55">
        <f>(( $E22-$B$4)/Parametri_mappa!$E$8)^2+((H22-$B$5)/Parametri_mappa!$E$9)^2</f>
        <v/>
      </c>
      <c r="I27" s="55">
        <f>(( $E22-$B$4)/Parametri_mappa!$E$8)^2+((I22-$B$5)/Parametri_mappa!$E$9)^2</f>
        <v/>
      </c>
      <c r="J27" s="55">
        <f>(( $E22-$B$4)/Parametri_mappa!$E$8)^2+((J22-$B$5)/Parametri_mappa!$E$9)^2</f>
        <v/>
      </c>
      <c r="K27" s="55">
        <f>(( $E22-$B$4)/Parametri_mappa!$E$8)^2+((K22-$B$5)/Parametri_mappa!$E$9)^2</f>
        <v/>
      </c>
      <c r="L27" s="55">
        <f>(( $E22-$B$4)/Parametri_mappa!$E$8)^2+((L22-$B$5)/Parametri_mappa!$E$9)^2</f>
        <v/>
      </c>
      <c r="S27" s="0">
        <f>H25</f>
        <v/>
      </c>
    </row>
    <row r="28" hidden="1" s="17">
      <c r="G28" s="52" t="n"/>
      <c r="S28" s="0">
        <f>I25</f>
        <v/>
      </c>
    </row>
    <row r="29" hidden="1" s="17">
      <c r="G29" s="52" t="n"/>
      <c r="S29" s="0">
        <f>J25</f>
        <v/>
      </c>
    </row>
    <row r="30" hidden="1" s="17">
      <c r="G30" s="52" t="n"/>
      <c r="S30" s="0">
        <f>K25</f>
        <v/>
      </c>
    </row>
    <row r="31" hidden="1" s="17">
      <c r="G31" s="52" t="n"/>
      <c r="S31" s="0">
        <f>L25</f>
        <v/>
      </c>
    </row>
    <row r="32" hidden="1" s="17">
      <c r="G32" s="52" t="n"/>
      <c r="S32" s="0">
        <f>F26</f>
        <v/>
      </c>
    </row>
    <row r="33" hidden="1" s="17">
      <c r="G33" s="52" t="n"/>
      <c r="S33" s="0">
        <f>G26</f>
        <v/>
      </c>
    </row>
    <row r="34" hidden="1" s="17">
      <c r="G34" s="52" t="n"/>
      <c r="S34" s="0">
        <f>H26</f>
        <v/>
      </c>
    </row>
    <row r="35" hidden="1" s="17">
      <c r="G35" s="52" t="n"/>
      <c r="S35" s="0">
        <f>I26</f>
        <v/>
      </c>
    </row>
    <row r="36" hidden="1" s="17">
      <c r="G36" s="52" t="n"/>
      <c r="S36" s="0">
        <f>J26</f>
        <v/>
      </c>
    </row>
    <row r="37" hidden="1" s="17">
      <c r="G37" s="52" t="n"/>
      <c r="S37" s="0">
        <f>K26</f>
        <v/>
      </c>
    </row>
    <row r="38" hidden="1" s="17">
      <c r="G38" s="52" t="n"/>
      <c r="S38" s="0">
        <f>L26</f>
        <v/>
      </c>
    </row>
    <row r="39" hidden="1" s="17">
      <c r="G39" s="52" t="n"/>
      <c r="S39" s="0">
        <f>F27</f>
        <v/>
      </c>
    </row>
    <row r="40" hidden="1" s="17">
      <c r="G40" s="52" t="n"/>
      <c r="S40" s="0">
        <f>G27</f>
        <v/>
      </c>
    </row>
    <row r="41" hidden="1" s="17">
      <c r="G41" s="52" t="n"/>
      <c r="S41" s="0">
        <f>H27</f>
        <v/>
      </c>
    </row>
    <row r="42" hidden="1" s="17">
      <c r="G42" s="52" t="n"/>
      <c r="S42" s="0">
        <f>I27</f>
        <v/>
      </c>
    </row>
    <row r="43" hidden="1" s="17">
      <c r="G43" s="52" t="n"/>
      <c r="S43" s="0">
        <f>J27</f>
        <v/>
      </c>
    </row>
    <row r="44" hidden="1" s="17">
      <c r="G44" s="52" t="n"/>
      <c r="S44" s="0">
        <f>K27</f>
        <v/>
      </c>
    </row>
    <row r="45" hidden="1" s="17">
      <c r="G45" s="52" t="n"/>
      <c r="S45" s="0">
        <f>L27</f>
        <v/>
      </c>
    </row>
    <row r="46">
      <c r="G46" s="52" t="n"/>
    </row>
    <row r="47">
      <c r="G47" s="52" t="n"/>
    </row>
    <row r="48">
      <c r="G48" s="52" t="n"/>
    </row>
    <row r="49">
      <c r="G49" s="52" t="n"/>
    </row>
    <row r="50">
      <c r="G50" s="52" t="n"/>
    </row>
    <row r="51">
      <c r="G51" s="52" t="n"/>
    </row>
    <row r="52">
      <c r="G52" s="52" t="n"/>
    </row>
    <row r="53">
      <c r="G53" s="52" t="n"/>
    </row>
    <row r="54">
      <c r="G54" s="52" t="n"/>
    </row>
    <row r="55">
      <c r="G55" s="52" t="n"/>
    </row>
    <row r="56">
      <c r="G56" s="52" t="n"/>
    </row>
    <row r="57">
      <c r="G57" s="52" t="n"/>
    </row>
    <row r="58">
      <c r="G58" s="52" t="n"/>
    </row>
    <row r="59">
      <c r="G59" s="52" t="n"/>
    </row>
    <row r="60">
      <c r="G60" s="52" t="n"/>
    </row>
    <row r="61">
      <c r="G61" s="52" t="n"/>
    </row>
    <row r="62">
      <c r="G62" s="52" t="n"/>
    </row>
    <row r="63">
      <c r="G63" s="52" t="n"/>
    </row>
    <row r="64">
      <c r="G64" s="52" t="n"/>
    </row>
    <row r="65">
      <c r="G65" s="52" t="n"/>
    </row>
    <row r="66">
      <c r="G66" s="52" t="n"/>
    </row>
    <row r="67">
      <c r="G67" s="52" t="n"/>
    </row>
    <row r="68">
      <c r="G68" s="52" t="n"/>
    </row>
    <row r="69">
      <c r="G69" s="52" t="n"/>
    </row>
    <row r="70">
      <c r="G70" s="52" t="n"/>
    </row>
    <row r="71">
      <c r="G71" s="52" t="n"/>
    </row>
    <row r="72">
      <c r="G72" s="52" t="n"/>
    </row>
    <row r="73">
      <c r="G73" s="52" t="n"/>
    </row>
    <row r="74">
      <c r="G74" s="52" t="n"/>
    </row>
    <row r="75">
      <c r="G75" s="52" t="n"/>
    </row>
    <row r="76">
      <c r="G76" s="52" t="n"/>
    </row>
    <row r="77">
      <c r="G77" s="52" t="n"/>
    </row>
    <row r="78">
      <c r="G78" s="52" t="n"/>
    </row>
    <row r="79">
      <c r="G79" s="52" t="n"/>
    </row>
    <row r="80">
      <c r="G80" s="52" t="n"/>
    </row>
    <row r="81">
      <c r="G81" s="52" t="n"/>
    </row>
    <row r="82">
      <c r="G82" s="52" t="n"/>
    </row>
    <row r="83">
      <c r="G83" s="52" t="n"/>
    </row>
    <row r="84">
      <c r="G84" s="52" t="n"/>
    </row>
    <row r="85">
      <c r="G85" s="52" t="n"/>
    </row>
    <row r="86">
      <c r="G86" s="52" t="n"/>
    </row>
    <row r="87">
      <c r="G87" s="52" t="n"/>
    </row>
    <row r="88">
      <c r="G88" s="52" t="n"/>
    </row>
    <row r="89">
      <c r="G89" s="52" t="n"/>
    </row>
    <row r="90">
      <c r="G90" s="52" t="n"/>
    </row>
    <row r="91">
      <c r="G91" s="52" t="n"/>
    </row>
    <row r="92">
      <c r="G92" s="52" t="n"/>
    </row>
    <row r="93">
      <c r="G93" s="52" t="n"/>
    </row>
    <row r="94">
      <c r="G94" s="52" t="n"/>
    </row>
    <row r="95">
      <c r="G95" s="52" t="n"/>
    </row>
    <row r="96">
      <c r="G96" s="52" t="n"/>
    </row>
    <row r="97">
      <c r="G97" s="52" t="n"/>
    </row>
    <row r="98">
      <c r="G98" s="52" t="n"/>
    </row>
    <row r="99">
      <c r="G99" s="52" t="n"/>
    </row>
    <row r="100">
      <c r="G100" s="52" t="n"/>
    </row>
    <row r="101">
      <c r="G101" s="52" t="n"/>
    </row>
    <row r="102">
      <c r="G102" s="52" t="n"/>
    </row>
    <row r="103">
      <c r="G103" s="52" t="n"/>
    </row>
    <row r="104">
      <c r="G104" s="52" t="n"/>
    </row>
    <row r="105">
      <c r="G105" s="52" t="n"/>
    </row>
    <row r="106">
      <c r="G106" s="52" t="n"/>
    </row>
    <row r="107">
      <c r="G107" s="52" t="n"/>
    </row>
    <row r="108">
      <c r="G108" s="52" t="n"/>
    </row>
    <row r="109">
      <c r="G109" s="52" t="n"/>
    </row>
    <row r="110">
      <c r="G110" s="52" t="n"/>
    </row>
    <row r="111">
      <c r="G111" s="52" t="n"/>
    </row>
    <row r="112">
      <c r="G112" s="52" t="n"/>
    </row>
    <row r="113">
      <c r="G113" s="52" t="n"/>
    </row>
    <row r="114">
      <c r="G114" s="52" t="n"/>
    </row>
    <row r="115">
      <c r="G115" s="52" t="n"/>
    </row>
    <row r="116">
      <c r="G116" s="52" t="n"/>
    </row>
    <row r="117">
      <c r="G117" s="52" t="n"/>
    </row>
    <row r="118">
      <c r="G118" s="52" t="n"/>
    </row>
    <row r="119">
      <c r="G119" s="52" t="n"/>
    </row>
    <row r="120">
      <c r="G120" s="52" t="n"/>
    </row>
    <row r="121">
      <c r="G121" s="52" t="n"/>
    </row>
    <row r="122">
      <c r="G122" s="52" t="n"/>
    </row>
    <row r="123">
      <c r="G123" s="52" t="n"/>
    </row>
    <row r="124">
      <c r="G124" s="52" t="n"/>
    </row>
    <row r="125">
      <c r="G125" s="52" t="n"/>
    </row>
    <row r="126">
      <c r="G126" s="52" t="n"/>
    </row>
    <row r="127">
      <c r="G127" s="52" t="n"/>
    </row>
    <row r="128">
      <c r="G128" s="52" t="n"/>
    </row>
    <row r="129">
      <c r="G129" s="52" t="n"/>
    </row>
    <row r="130">
      <c r="G130" s="52" t="n"/>
    </row>
    <row r="131">
      <c r="G131" s="52" t="n"/>
    </row>
    <row r="132">
      <c r="G132" s="52" t="n"/>
    </row>
    <row r="133">
      <c r="G133" s="52" t="n"/>
    </row>
    <row r="134">
      <c r="G134" s="52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7" min="1" max="1"/>
    <col width="10" customWidth="1" style="17" min="2" max="3"/>
    <col width="11" customWidth="1" style="17" min="4" max="4"/>
    <col width="10" customWidth="1" style="17" min="5" max="6"/>
    <col width="11" customWidth="1" style="17" min="7" max="7"/>
    <col width="10" customWidth="1" style="17" min="8" max="9"/>
    <col width="11" customWidth="1" style="17" min="10" max="10"/>
    <col width="10" customWidth="1" style="17" min="11" max="12"/>
    <col width="11" customWidth="1" style="17" min="13" max="13"/>
    <col width="10" customWidth="1" style="17" min="14" max="15"/>
    <col width="11" customWidth="1" style="17" min="16" max="16"/>
    <col width="12" customWidth="1" style="17" min="17" max="17"/>
    <col width="14" customWidth="1" style="17" min="18" max="18"/>
    <col width="16.14" customWidth="1" style="17" min="19" max="19"/>
    <col width="10.29" customWidth="1" style="17" min="20" max="20"/>
    <col width="15.57" customWidth="1" style="17" min="21" max="21"/>
    <col width="11.43" customWidth="1" style="17" min="22" max="22"/>
    <col width="12.14" customWidth="1" style="17" min="23" max="23"/>
    <col width="22.29" customWidth="1" style="17" min="24" max="24"/>
    <col width="19.14" customWidth="1" style="17" min="25" max="25"/>
    <col width="11.57" customWidth="1" style="17" min="26" max="26"/>
    <col width="16.14" customWidth="1" style="17" min="27" max="28"/>
    <col width="8.710000000000001" customWidth="1" style="17" min="29" max="78"/>
  </cols>
  <sheetData>
    <row r="1" ht="27.75" customHeight="1" s="17">
      <c r="A1" s="46" t="inlineStr">
        <is>
          <t>CBM (Certainty-Based Marking) – 10 scenari su test da 5 domande</t>
        </is>
      </c>
    </row>
    <row r="2" ht="33.75" customHeight="1" s="17">
      <c r="A2" s="4" t="inlineStr">
        <is>
          <t>Legenda: Risposta=1 corretta, 0 sbagliata. Certezza: L=bassa, M=media, H=alta. Punteggi CBM e voti sono calcolati con formule (modificabili dai parametri sotto).</t>
        </is>
      </c>
    </row>
    <row r="4" ht="19.5" customHeight="1" s="17">
      <c r="A4" s="47" t="inlineStr">
        <is>
          <t>Parametri CBM (modifica qui)</t>
        </is>
      </c>
      <c r="F4" s="47" t="inlineStr">
        <is>
          <t>Conversione in voto (0–10)</t>
        </is>
      </c>
      <c r="L4" s="47" t="inlineStr">
        <is>
          <t>Mini-dashboard (automatico)</t>
        </is>
      </c>
    </row>
    <row r="5">
      <c r="A5" s="6" t="inlineStr">
        <is>
          <t>Certezza</t>
        </is>
      </c>
      <c r="B5" s="6" t="inlineStr">
        <is>
          <t>Valore</t>
        </is>
      </c>
      <c r="C5" s="6" t="inlineStr">
        <is>
          <t>Punti se corretta</t>
        </is>
      </c>
      <c r="D5" s="6" t="inlineStr">
        <is>
          <t>Punti se sbagliata</t>
        </is>
      </c>
      <c r="F5" s="7" t="inlineStr">
        <is>
          <t>CBM minimo</t>
        </is>
      </c>
      <c r="G5" s="8" t="n">
        <v>-30</v>
      </c>
      <c r="L5" s="7" t="inlineStr">
        <is>
          <t>Media voto accuratezza</t>
        </is>
      </c>
      <c r="M5" s="9">
        <f>AVERAGE(S12:S21)</f>
        <v/>
      </c>
      <c r="R5" s="7" t="inlineStr">
        <is>
          <t>Punti max di malus</t>
        </is>
      </c>
      <c r="S5" s="9" t="n">
        <v>2</v>
      </c>
      <c r="V5" s="7" t="inlineStr">
        <is>
          <t>Parametri della spezzata</t>
        </is>
      </c>
      <c r="W5" s="9" t="inlineStr">
        <is>
          <t>soglia1-2</t>
        </is>
      </c>
      <c r="X5" s="7" t="n">
        <v>66.59999999999999</v>
      </c>
      <c r="Y5" s="7" t="n"/>
      <c r="AA5" s="10" t="inlineStr">
        <is>
          <t>x spezzata</t>
        </is>
      </c>
      <c r="AB5" s="10" t="n">
        <v>0</v>
      </c>
      <c r="AC5" s="10" t="n">
        <v>0.2</v>
      </c>
      <c r="AD5" s="10" t="n">
        <v>0.4</v>
      </c>
      <c r="AE5" s="10" t="n">
        <v>0.6</v>
      </c>
      <c r="AF5" s="10" t="n">
        <v>0.8</v>
      </c>
      <c r="AG5" s="10" t="n">
        <v>1</v>
      </c>
      <c r="AH5" s="10" t="n">
        <v>1.2</v>
      </c>
      <c r="AI5" s="10" t="n">
        <v>1.4</v>
      </c>
      <c r="AJ5" s="10" t="n">
        <v>1.6</v>
      </c>
      <c r="AK5" s="10" t="n">
        <v>1.8</v>
      </c>
      <c r="AL5" s="10" t="n">
        <v>2</v>
      </c>
      <c r="AM5" s="10" t="n">
        <v>2.2</v>
      </c>
      <c r="AN5" s="10" t="n">
        <v>2.4</v>
      </c>
      <c r="AO5" s="10" t="n">
        <v>2.6</v>
      </c>
      <c r="AP5" s="10" t="n">
        <v>2.8</v>
      </c>
      <c r="AQ5" s="10" t="n">
        <v>3</v>
      </c>
      <c r="AR5" s="10" t="n">
        <v>3.2</v>
      </c>
      <c r="AS5" s="10" t="n">
        <v>3.4</v>
      </c>
      <c r="AT5" s="10" t="n">
        <v>3.6</v>
      </c>
      <c r="AU5" s="10" t="n">
        <v>3.8</v>
      </c>
      <c r="AV5" s="10" t="n">
        <v>4</v>
      </c>
      <c r="AW5" s="10" t="n">
        <v>4.2</v>
      </c>
      <c r="AX5" s="10" t="n">
        <v>4.4</v>
      </c>
      <c r="AY5" s="10" t="n">
        <v>4.6</v>
      </c>
      <c r="AZ5" s="10" t="n">
        <v>4.8</v>
      </c>
      <c r="BA5" s="10" t="n">
        <v>5</v>
      </c>
      <c r="BB5" s="10" t="n">
        <v>5.2</v>
      </c>
      <c r="BC5" s="10" t="n">
        <v>5.4</v>
      </c>
      <c r="BD5" s="10" t="n">
        <v>5.6</v>
      </c>
      <c r="BE5" s="10" t="n">
        <v>5.8</v>
      </c>
      <c r="BF5" s="10" t="n">
        <v>6</v>
      </c>
      <c r="BG5" s="10" t="n">
        <v>6.2</v>
      </c>
      <c r="BH5" s="10" t="n">
        <v>6.4</v>
      </c>
      <c r="BI5" s="10" t="n">
        <v>6.6</v>
      </c>
      <c r="BJ5" s="10" t="n">
        <v>6.8</v>
      </c>
      <c r="BK5" s="10" t="n">
        <v>7</v>
      </c>
      <c r="BL5" s="10" t="n">
        <v>7.2</v>
      </c>
      <c r="BM5" s="10" t="n">
        <v>7.4</v>
      </c>
      <c r="BN5" s="10" t="n">
        <v>7.6</v>
      </c>
      <c r="BO5" s="10" t="n">
        <v>7.8</v>
      </c>
      <c r="BP5" s="10" t="n">
        <v>8</v>
      </c>
      <c r="BQ5" s="10" t="n">
        <v>8.199999999999999</v>
      </c>
      <c r="BR5" s="10" t="n">
        <v>8.4</v>
      </c>
      <c r="BS5" s="10" t="n">
        <v>8.6</v>
      </c>
      <c r="BT5" s="10" t="n">
        <v>8.800000000000001</v>
      </c>
      <c r="BU5" s="10" t="n">
        <v>9</v>
      </c>
      <c r="BV5" s="10" t="n">
        <v>9.199999999999999</v>
      </c>
      <c r="BW5" s="10" t="n">
        <v>9.4</v>
      </c>
      <c r="BX5" s="10" t="n">
        <v>9.6</v>
      </c>
      <c r="BY5" s="10" t="n">
        <v>9.800000000000001</v>
      </c>
      <c r="BZ5" s="10" t="n">
        <v>10</v>
      </c>
    </row>
    <row r="6">
      <c r="A6" s="11" t="inlineStr">
        <is>
          <t>L (bassa)</t>
        </is>
      </c>
      <c r="B6" s="8" t="inlineStr">
        <is>
          <t>L</t>
        </is>
      </c>
      <c r="C6" s="12" t="n">
        <v>1</v>
      </c>
      <c r="D6" s="12" t="n">
        <v>0</v>
      </c>
      <c r="F6" s="7" t="inlineStr">
        <is>
          <t>CBM massimo</t>
        </is>
      </c>
      <c r="G6" s="8" t="n">
        <v>15</v>
      </c>
      <c r="L6" s="7" t="inlineStr">
        <is>
          <t>Media voto CBM</t>
        </is>
      </c>
      <c r="M6" s="9">
        <f>AVERAGE(U12:U21)</f>
        <v/>
      </c>
      <c r="R6" s="7" t="inlineStr">
        <is>
          <t>Punti max di bonus</t>
        </is>
      </c>
      <c r="S6" s="9" t="n">
        <v>1</v>
      </c>
      <c r="V6" s="7" t="n"/>
      <c r="W6" s="9" t="inlineStr">
        <is>
          <t>soglia2-3</t>
        </is>
      </c>
      <c r="X6" s="7" t="n">
        <v>80</v>
      </c>
      <c r="Y6" s="7" t="n"/>
      <c r="AA6" s="10" t="inlineStr">
        <is>
          <t>y spezzata</t>
        </is>
      </c>
      <c r="AB6" s="10">
        <f>IF(AB5&lt;=$X$5/10,AB5*$X$7+$Y$7,IF(AB5&lt;=$X$6/10,$X$8*AB5+$Y$8/10,$X$9*AB5+$Y$9/10))</f>
        <v/>
      </c>
      <c r="AC6" s="10">
        <f>IF(AC5&lt;=$X$5/10,AC5*$X$7+$Y$7,IF(AC5&lt;=$X$6/10,$X$8*AC5+$Y$8/10,$X$9*AC5+$Y$9/10))</f>
        <v/>
      </c>
      <c r="AD6" s="10">
        <f>IF(AD5&lt;=$X$5/10,AD5*$X$7+$Y$7,IF(AD5&lt;=$X$6/10,$X$8*AD5+$Y$8/10,$X$9*AD5+$Y$9/10))</f>
        <v/>
      </c>
      <c r="AE6" s="10">
        <f>IF(AE5&lt;=$X$5/10,AE5*$X$7+$Y$7,IF(AE5&lt;=$X$6/10,$X$8*AE5+$Y$8/10,$X$9*AE5+$Y$9/10))</f>
        <v/>
      </c>
      <c r="AF6" s="10">
        <f>IF(AF5&lt;=$X$5/10,AF5*$X$7+$Y$7,IF(AF5&lt;=$X$6/10,$X$8*AF5+$Y$8/10,$X$9*AF5+$Y$9/10))</f>
        <v/>
      </c>
      <c r="AG6" s="10">
        <f>IF(AG5&lt;=$X$5/10,AG5*$X$7+$Y$7,IF(AG5&lt;=$X$6/10,$X$8*AG5+$Y$8/10,$X$9*AG5+$Y$9/10))</f>
        <v/>
      </c>
      <c r="AH6" s="10">
        <f>IF(AH5&lt;=$X$5/10,AH5*$X$7+$Y$7,IF(AH5&lt;=$X$6/10,$X$8*AH5+$Y$8/10,$X$9*AH5+$Y$9/10))</f>
        <v/>
      </c>
      <c r="AI6" s="10">
        <f>IF(AI5&lt;=$X$5/10,AI5*$X$7+$Y$7,IF(AI5&lt;=$X$6/10,$X$8*AI5+$Y$8/10,$X$9*AI5+$Y$9/10))</f>
        <v/>
      </c>
      <c r="AJ6" s="10">
        <f>IF(AJ5&lt;=$X$5/10,AJ5*$X$7+$Y$7,IF(AJ5&lt;=$X$6/10,$X$8*AJ5+$Y$8/10,$X$9*AJ5+$Y$9/10))</f>
        <v/>
      </c>
      <c r="AK6" s="10">
        <f>IF(AK5&lt;=$X$5/10,AK5*$X$7+$Y$7,IF(AK5&lt;=$X$6/10,$X$8*AK5+$Y$8/10,$X$9*AK5+$Y$9/10))</f>
        <v/>
      </c>
      <c r="AL6" s="10">
        <f>IF(AL5&lt;=$X$5/10,AL5*$X$7+$Y$7,IF(AL5&lt;=$X$6/10,$X$8*AL5+$Y$8/10,$X$9*AL5+$Y$9/10))</f>
        <v/>
      </c>
      <c r="AM6" s="10">
        <f>IF(AM5&lt;=$X$5/10,AM5*$X$7+$Y$7,IF(AM5&lt;=$X$6/10,$X$8*AM5+$Y$8/10,$X$9*AM5+$Y$9/10))</f>
        <v/>
      </c>
      <c r="AN6" s="10">
        <f>IF(AN5&lt;=$X$5/10,AN5*$X$7+$Y$7,IF(AN5&lt;=$X$6/10,$X$8*AN5+$Y$8/10,$X$9*AN5+$Y$9/10))</f>
        <v/>
      </c>
      <c r="AO6" s="10">
        <f>IF(AO5&lt;=$X$5/10,AO5*$X$7+$Y$7,IF(AO5&lt;=$X$6/10,$X$8*AO5+$Y$8/10,$X$9*AO5+$Y$9/10))</f>
        <v/>
      </c>
      <c r="AP6" s="10">
        <f>IF(AP5&lt;=$X$5/10,AP5*$X$7+$Y$7,IF(AP5&lt;=$X$6/10,$X$8*AP5+$Y$8/10,$X$9*AP5+$Y$9/10))</f>
        <v/>
      </c>
      <c r="AQ6" s="10">
        <f>IF(AQ5&lt;=$X$5/10,AQ5*$X$7+$Y$7,IF(AQ5&lt;=$X$6/10,$X$8*AQ5+$Y$8/10,$X$9*AQ5+$Y$9/10))</f>
        <v/>
      </c>
      <c r="AR6" s="10">
        <f>IF(AR5&lt;=$X$5/10,AR5*$X$7+$Y$7,IF(AR5&lt;=$X$6/10,$X$8*AR5+$Y$8/10,$X$9*AR5+$Y$9/10))</f>
        <v/>
      </c>
      <c r="AS6" s="10">
        <f>IF(AS5&lt;=$X$5/10,AS5*$X$7+$Y$7,IF(AS5&lt;=$X$6/10,$X$8*AS5+$Y$8/10,$X$9*AS5+$Y$9/10))</f>
        <v/>
      </c>
      <c r="AT6" s="10">
        <f>IF(AT5&lt;=$X$5/10,AT5*$X$7+$Y$7,IF(AT5&lt;=$X$6/10,$X$8*AT5+$Y$8/10,$X$9*AT5+$Y$9/10))</f>
        <v/>
      </c>
      <c r="AU6" s="10">
        <f>IF(AU5&lt;=$X$5/10,AU5*$X$7+$Y$7,IF(AU5&lt;=$X$6/10,$X$8*AU5+$Y$8/10,$X$9*AU5+$Y$9/10))</f>
        <v/>
      </c>
      <c r="AV6" s="10">
        <f>IF(AV5&lt;=$X$5/10,AV5*$X$7+$Y$7,IF(AV5&lt;=$X$6/10,$X$8*AV5+$Y$8/10,$X$9*AV5+$Y$9/10))</f>
        <v/>
      </c>
      <c r="AW6" s="10">
        <f>IF(AW5&lt;=$X$5/10,AW5*$X$7+$Y$7,IF(AW5&lt;=$X$6/10,$X$8*AW5+$Y$8/10,$X$9*AW5+$Y$9/10))</f>
        <v/>
      </c>
      <c r="AX6" s="10">
        <f>IF(AX5&lt;=$X$5/10,AX5*$X$7+$Y$7,IF(AX5&lt;=$X$6/10,$X$8*AX5+$Y$8/10,$X$9*AX5+$Y$9/10))</f>
        <v/>
      </c>
      <c r="AY6" s="10">
        <f>IF(AY5&lt;=$X$5/10,AY5*$X$7+$Y$7,IF(AY5&lt;=$X$6/10,$X$8*AY5+$Y$8/10,$X$9*AY5+$Y$9/10))</f>
        <v/>
      </c>
      <c r="AZ6" s="10">
        <f>IF(AZ5&lt;=$X$5/10,AZ5*$X$7+$Y$7,IF(AZ5&lt;=$X$6/10,$X$8*AZ5+$Y$8/10,$X$9*AZ5+$Y$9/10))</f>
        <v/>
      </c>
      <c r="BA6" s="10">
        <f>IF(BA5&lt;=$X$5/10,BA5*$X$7+$Y$7,IF(BA5&lt;=$X$6/10,$X$8*BA5+$Y$8/10,$X$9*BA5+$Y$9/10))</f>
        <v/>
      </c>
      <c r="BB6" s="10">
        <f>IF(BB5&lt;=$X$5/10,BB5*$X$7+$Y$7,IF(BB5&lt;=$X$6/10,$X$8*BB5+$Y$8/10,$X$9*BB5+$Y$9/10))</f>
        <v/>
      </c>
      <c r="BC6" s="10">
        <f>IF(BC5&lt;=$X$5/10,BC5*$X$7+$Y$7,IF(BC5&lt;=$X$6/10,$X$8*BC5+$Y$8/10,$X$9*BC5+$Y$9/10))</f>
        <v/>
      </c>
      <c r="BD6" s="10">
        <f>IF(BD5&lt;=$X$5/10,BD5*$X$7+$Y$7,IF(BD5&lt;=$X$6/10,$X$8*BD5+$Y$8/10,$X$9*BD5+$Y$9/10))</f>
        <v/>
      </c>
      <c r="BE6" s="10">
        <f>IF(BE5&lt;=$X$5/10,BE5*$X$7+$Y$7,IF(BE5&lt;=$X$6/10,$X$8*BE5+$Y$8/10,$X$9*BE5+$Y$9/10))</f>
        <v/>
      </c>
      <c r="BF6" s="10">
        <f>IF(BF5&lt;=$X$5/10,BF5*$X$7+$Y$7,IF(BF5&lt;=$X$6/10,$X$8*BF5+$Y$8/10,$X$9*BF5+$Y$9/10))</f>
        <v/>
      </c>
      <c r="BG6" s="10">
        <f>IF(BG5&lt;=$X$5/10,BG5*$X$7+$Y$7,IF(BG5&lt;=$X$6/10,$X$8*BG5+$Y$8/10,$X$9*BG5+$Y$9/10))</f>
        <v/>
      </c>
      <c r="BH6" s="10">
        <f>IF(BH5&lt;=$X$5/10,BH5*$X$7+$Y$7,IF(BH5&lt;=$X$6/10,$X$8*BH5+$Y$8/10,$X$9*BH5+$Y$9/10))</f>
        <v/>
      </c>
      <c r="BI6" s="10">
        <f>IF(BI5&lt;=$X$5/10,BI5*$X$7+$Y$7,IF(BI5&lt;=$X$6/10,$X$8*BI5+$Y$8/10,$X$9*BI5+$Y$9/10))</f>
        <v/>
      </c>
      <c r="BJ6" s="10">
        <f>IF(BJ5&lt;=$X$5/10,BJ5*$X$7+$Y$7,IF(BJ5&lt;=$X$6/10,$X$8*BJ5+$Y$8/10,$X$9*BJ5+$Y$9/10))</f>
        <v/>
      </c>
      <c r="BK6" s="10">
        <f>IF(BK5&lt;=$X$5/10,BK5*$X$7+$Y$7,IF(BK5&lt;=$X$6/10,$X$8*BK5+$Y$8/10,$X$9*BK5+$Y$9/10))</f>
        <v/>
      </c>
      <c r="BL6" s="10">
        <f>IF(BL5&lt;=$X$5/10,BL5*$X$7+$Y$7,IF(BL5&lt;=$X$6/10,$X$8*BL5+$Y$8/10,$X$9*BL5+$Y$9/10))</f>
        <v/>
      </c>
      <c r="BM6" s="10">
        <f>IF(BM5&lt;=$X$5/10,BM5*$X$7+$Y$7,IF(BM5&lt;=$X$6/10,$X$8*BM5+$Y$8/10,$X$9*BM5+$Y$9/10))</f>
        <v/>
      </c>
      <c r="BN6" s="10">
        <f>IF(BN5&lt;=$X$5/10,BN5*$X$7+$Y$7,IF(BN5&lt;=$X$6/10,$X$8*BN5+$Y$8/10,$X$9*BN5+$Y$9/10))</f>
        <v/>
      </c>
      <c r="BO6" s="10">
        <f>IF(BO5&lt;=$X$5/10,BO5*$X$7+$Y$7,IF(BO5&lt;=$X$6/10,$X$8*BO5+$Y$8/10,$X$9*BO5+$Y$9/10))</f>
        <v/>
      </c>
      <c r="BP6" s="10">
        <f>IF(BP5&lt;=$X$5/10,BP5*$X$7+$Y$7,IF(BP5&lt;=$X$6/10,$X$8*BP5+$Y$8/10,$X$9*BP5+$Y$9/10))</f>
        <v/>
      </c>
      <c r="BQ6" s="10">
        <f>IF(BQ5&lt;=$X$5/10,BQ5*$X$7+$Y$7,IF(BQ5&lt;=$X$6/10,$X$8*BQ5+$Y$8/10,$X$9*BQ5+$Y$9/10))</f>
        <v/>
      </c>
      <c r="BR6" s="10">
        <f>IF(BR5&lt;=$X$5/10,BR5*$X$7+$Y$7,IF(BR5&lt;=$X$6/10,$X$8*BR5+$Y$8/10,$X$9*BR5+$Y$9/10))</f>
        <v/>
      </c>
      <c r="BS6" s="10">
        <f>IF(BS5&lt;=$X$5/10,BS5*$X$7+$Y$7,IF(BS5&lt;=$X$6/10,$X$8*BS5+$Y$8/10,$X$9*BS5+$Y$9/10))</f>
        <v/>
      </c>
      <c r="BT6" s="10">
        <f>IF(BT5&lt;=$X$5/10,BT5*$X$7+$Y$7,IF(BT5&lt;=$X$6/10,$X$8*BT5+$Y$8/10,$X$9*BT5+$Y$9/10))</f>
        <v/>
      </c>
      <c r="BU6" s="10">
        <f>IF(BU5&lt;=$X$5/10,BU5*$X$7+$Y$7,IF(BU5&lt;=$X$6/10,$X$8*BU5+$Y$8/10,$X$9*BU5+$Y$9/10))</f>
        <v/>
      </c>
      <c r="BV6" s="10">
        <f>IF(BV5&lt;=$X$5/10,BV5*$X$7+$Y$7,IF(BV5&lt;=$X$6/10,$X$8*BV5+$Y$8/10,$X$9*BV5+$Y$9/10))</f>
        <v/>
      </c>
      <c r="BW6" s="10">
        <f>IF(BW5&lt;=$X$5/10,BW5*$X$7+$Y$7,IF(BW5&lt;=$X$6/10,$X$8*BW5+$Y$8/10,$X$9*BW5+$Y$9/10))</f>
        <v/>
      </c>
      <c r="BX6" s="10">
        <f>IF(BX5&lt;=$X$5/10,BX5*$X$7+$Y$7,IF(BX5&lt;=$X$6/10,$X$8*BX5+$Y$8/10,$X$9*BX5+$Y$9/10))</f>
        <v/>
      </c>
      <c r="BY6" s="10">
        <f>IF(BY5&lt;=$X$5/10,BY5*$X$7+$Y$7,IF(BY5&lt;=$X$6/10,$X$8*BY5+$Y$8/10,$X$9*BY5+$Y$9/10))</f>
        <v/>
      </c>
      <c r="BZ6" s="10">
        <f>IF(BZ5&lt;=$X$5/10,BZ5*$X$7+$Y$7,IF(BZ5&lt;=$X$6/10,$X$8*BZ5+$Y$8/10,$X$9*BZ5+$Y$9/10))</f>
        <v/>
      </c>
    </row>
    <row r="7">
      <c r="A7" s="11" t="inlineStr">
        <is>
          <t>M (media)</t>
        </is>
      </c>
      <c r="B7" s="8" t="inlineStr">
        <is>
          <t>M</t>
        </is>
      </c>
      <c r="C7" s="12" t="n">
        <v>2</v>
      </c>
      <c r="D7" s="12" t="n">
        <v>-2</v>
      </c>
      <c r="F7" s="7" t="inlineStr">
        <is>
          <t>Peso CBM (0–1)</t>
        </is>
      </c>
      <c r="G7" s="8" t="n">
        <v>0.5</v>
      </c>
      <c r="L7" s="7" t="inlineStr">
        <is>
          <t>Media voto finale</t>
        </is>
      </c>
      <c r="M7" s="9">
        <f>AVERAGE(AB12:AB21)</f>
        <v/>
      </c>
      <c r="R7" s="7" t="inlineStr">
        <is>
          <t>Punti sulla spezzata</t>
        </is>
      </c>
      <c r="S7" s="9" t="n">
        <v>-0.5</v>
      </c>
      <c r="V7" s="7" t="n"/>
      <c r="W7" s="9" t="inlineStr">
        <is>
          <t>spezzata1 m,q</t>
        </is>
      </c>
      <c r="X7" s="7" t="n">
        <v>1</v>
      </c>
      <c r="Y7" s="7" t="n">
        <v>0</v>
      </c>
    </row>
    <row r="8">
      <c r="A8" s="11" t="inlineStr">
        <is>
          <t>H (alta)</t>
        </is>
      </c>
      <c r="B8" s="8" t="inlineStr">
        <is>
          <t>H</t>
        </is>
      </c>
      <c r="C8" s="12" t="n">
        <v>3</v>
      </c>
      <c r="D8" s="12" t="n">
        <v>-6</v>
      </c>
      <c r="F8" s="7" t="inlineStr">
        <is>
          <t>Peso Accuratezza (auto)</t>
        </is>
      </c>
      <c r="G8" s="8">
        <f>1-G7</f>
        <v/>
      </c>
      <c r="V8" s="7" t="n"/>
      <c r="W8" s="9" t="inlineStr">
        <is>
          <t>spezzata2 m,q</t>
        </is>
      </c>
      <c r="X8" s="7" t="n">
        <v>4</v>
      </c>
      <c r="Y8" s="7">
        <f>X7*X5+Y7-X8*X5</f>
        <v/>
      </c>
    </row>
    <row r="9">
      <c r="V9" s="7" t="n"/>
      <c r="W9" s="9" t="inlineStr">
        <is>
          <t>spezzata3 m,q</t>
        </is>
      </c>
      <c r="X9" s="7" t="n">
        <v>9</v>
      </c>
      <c r="Y9" s="7">
        <f>X8*X6+Y8-X9*X6</f>
        <v/>
      </c>
    </row>
    <row r="11" ht="31.5" customHeight="1" s="17">
      <c r="A11" s="6" t="inlineStr">
        <is>
          <t>Scenario</t>
        </is>
      </c>
      <c r="B11" s="6" t="inlineStr">
        <is>
          <t>Q1 Risposta</t>
        </is>
      </c>
      <c r="C11" s="6" t="inlineStr">
        <is>
          <t>Q1 Certezza</t>
        </is>
      </c>
      <c r="D11" s="6" t="inlineStr">
        <is>
          <t>Q1 Punti CBM</t>
        </is>
      </c>
      <c r="E11" s="6" t="inlineStr">
        <is>
          <t>Q2 Risposta</t>
        </is>
      </c>
      <c r="F11" s="6" t="inlineStr">
        <is>
          <t>Q2 Certezza</t>
        </is>
      </c>
      <c r="G11" s="6" t="inlineStr">
        <is>
          <t>Q2 Punti CBM</t>
        </is>
      </c>
      <c r="H11" s="6" t="inlineStr">
        <is>
          <t>Q3 Risposta</t>
        </is>
      </c>
      <c r="I11" s="6" t="inlineStr">
        <is>
          <t>Q3 Certezza</t>
        </is>
      </c>
      <c r="J11" s="6" t="inlineStr">
        <is>
          <t>Q3 Punti CBM</t>
        </is>
      </c>
      <c r="K11" s="6" t="inlineStr">
        <is>
          <t>Q4 Risposta</t>
        </is>
      </c>
      <c r="L11" s="6" t="inlineStr">
        <is>
          <t>Q4 Certezza</t>
        </is>
      </c>
      <c r="M11" s="6" t="inlineStr">
        <is>
          <t>Q4 Punti CBM</t>
        </is>
      </c>
      <c r="N11" s="6" t="inlineStr">
        <is>
          <t>Q5 Risposta</t>
        </is>
      </c>
      <c r="O11" s="6" t="inlineStr">
        <is>
          <t>Q5 Certezza</t>
        </is>
      </c>
      <c r="P11" s="6" t="inlineStr">
        <is>
          <t>Q5 Punti CBM</t>
        </is>
      </c>
      <c r="Q11" s="6" t="inlineStr">
        <is>
          <t>Tot. corrette</t>
        </is>
      </c>
      <c r="R11" s="6" t="inlineStr">
        <is>
          <t>Accuratezza %</t>
        </is>
      </c>
      <c r="S11" s="6" t="inlineStr">
        <is>
          <t>Voto accuratezza (0-10)</t>
        </is>
      </c>
      <c r="T11" s="6" t="inlineStr">
        <is>
          <t>Punti CBM (assoluti)</t>
        </is>
      </c>
      <c r="U11" s="6" t="inlineStr">
        <is>
          <t>Voto CBM (0-10)</t>
        </is>
      </c>
      <c r="V11" s="6" t="inlineStr">
        <is>
          <t>Accuratezza (0-100)</t>
        </is>
      </c>
      <c r="W11" s="6" t="inlineStr">
        <is>
          <t>CBM (0-100)</t>
        </is>
      </c>
      <c r="X11" s="6" t="inlineStr">
        <is>
          <t>Spezzata comprensione minima y_min (0-100)</t>
        </is>
      </c>
      <c r="Y11" s="6" t="inlineStr">
        <is>
          <t>Retta comprensione y=3x (0-100)</t>
        </is>
      </c>
      <c r="Z11" s="6">
        <f>CONCAT("adj (",-(10*S5)," …+",10*S6,")")</f>
        <v/>
      </c>
      <c r="AA11" s="6" t="inlineStr">
        <is>
          <t>Voto finale (regola spezzata)</t>
        </is>
      </c>
      <c r="AB11" s="6" t="inlineStr">
        <is>
          <t>Voto finale (1-10)</t>
        </is>
      </c>
    </row>
    <row r="12" ht="19.5" customHeight="1" s="17">
      <c r="A12" s="11" t="inlineStr">
        <is>
          <t>Scenario 1</t>
        </is>
      </c>
      <c r="B12" s="13" t="n">
        <v>1</v>
      </c>
      <c r="C12" s="13" t="inlineStr">
        <is>
          <t>H</t>
        </is>
      </c>
      <c r="D12" s="14">
        <f>IF(B12=1, VLOOKUP(C12,$B$6:$D$8,2,FALSE), VLOOKUP(C12,$B$6:$D$8,3,FALSE))</f>
        <v/>
      </c>
      <c r="E12" s="13" t="n">
        <v>1</v>
      </c>
      <c r="F12" s="13" t="inlineStr">
        <is>
          <t>H</t>
        </is>
      </c>
      <c r="G12" s="14">
        <f>IF(E12=1, VLOOKUP(F12,$B$6:$D$8,2,FALSE), VLOOKUP(F12,$B$6:$D$8,3,FALSE))</f>
        <v/>
      </c>
      <c r="H12" s="13" t="n">
        <v>1</v>
      </c>
      <c r="I12" s="13" t="inlineStr">
        <is>
          <t>H</t>
        </is>
      </c>
      <c r="J12" s="14">
        <f>IF(H12=1, VLOOKUP(I12,$B$6:$D$8,2,FALSE), VLOOKUP(I12,$B$6:$D$8,3,FALSE))</f>
        <v/>
      </c>
      <c r="K12" s="13" t="n">
        <v>0</v>
      </c>
      <c r="L12" s="13" t="inlineStr">
        <is>
          <t>L</t>
        </is>
      </c>
      <c r="M12" s="14">
        <f>IF(K12=1, VLOOKUP(L12,$B$6:$D$8,2,FALSE), VLOOKUP(L12,$B$6:$D$8,3,FALSE))</f>
        <v/>
      </c>
      <c r="N12" s="13" t="n">
        <v>0</v>
      </c>
      <c r="O12" s="13" t="inlineStr">
        <is>
          <t>L</t>
        </is>
      </c>
      <c r="P12" s="14">
        <f>IF(N12=1, VLOOKUP(O12,$B$6:$D$8,2,FALSE), VLOOKUP(O12,$B$6:$D$8,3,FALSE))</f>
        <v/>
      </c>
      <c r="Q12" s="15">
        <f>SUM(B12,E12,H12,K12,N12)</f>
        <v/>
      </c>
      <c r="R12" s="16">
        <f>Q12/5</f>
        <v/>
      </c>
      <c r="S12" s="9">
        <f>R12*10</f>
        <v/>
      </c>
      <c r="T12" s="15">
        <f>SUM(D12,G12,J12,M12,P12)</f>
        <v/>
      </c>
      <c r="U12" s="9">
        <f>T12*2</f>
        <v/>
      </c>
      <c r="V12" s="9">
        <f>R12*100</f>
        <v/>
      </c>
      <c r="W12" s="9">
        <f>U12*10</f>
        <v/>
      </c>
      <c r="X12" s="9">
        <f>IF(V12&lt;=$X$5,V12*$X$7+$Y$7,IF(V12&lt;=$X$6,$X$8*V12+$Y$8,$X$9*V12+$Y$9))</f>
        <v/>
      </c>
      <c r="Y12" s="9">
        <f>3*V12</f>
        <v/>
      </c>
      <c r="Z12" s="9">
        <f>IF(V12&lt;50,0,IF(W12=300,0,IF(W12&gt;=X12,$S$7 + (-$S$7+$S$6)*(W12-X12)/MAX(0.0001,(Y12-X12)),IF(W12&lt;=(V12-60),-$S$5,$S$7 - ($S$5+$S$7)*(X12-W12)/MAX(0.0001,(X12-(V12-60)))))))*10</f>
        <v/>
      </c>
      <c r="AA12" s="9">
        <f>MAX(10,MIN(100, IF(V12&lt;50,V12,V12+Z12)))</f>
        <v/>
      </c>
      <c r="AB12" s="9">
        <f>AA12/10</f>
        <v/>
      </c>
    </row>
    <row r="13" ht="19.5" customHeight="1" s="17">
      <c r="A13" s="11" t="inlineStr">
        <is>
          <t>Scenario 2</t>
        </is>
      </c>
      <c r="B13" s="13" t="n">
        <v>1</v>
      </c>
      <c r="C13" s="13" t="inlineStr">
        <is>
          <t>M</t>
        </is>
      </c>
      <c r="D13" s="14">
        <f>IF(B13=1, VLOOKUP(C13,$B$6:$D$8,2,FALSE), VLOOKUP(C13,$B$6:$D$8,3,FALSE))</f>
        <v/>
      </c>
      <c r="E13" s="13" t="n">
        <v>1</v>
      </c>
      <c r="F13" s="13" t="inlineStr">
        <is>
          <t>M</t>
        </is>
      </c>
      <c r="G13" s="14">
        <f>IF(E13=1, VLOOKUP(F13,$B$6:$D$8,2,FALSE), VLOOKUP(F13,$B$6:$D$8,3,FALSE))</f>
        <v/>
      </c>
      <c r="H13" s="13" t="n">
        <v>1</v>
      </c>
      <c r="I13" s="13" t="inlineStr">
        <is>
          <t>M</t>
        </is>
      </c>
      <c r="J13" s="14">
        <f>IF(H13=1, VLOOKUP(I13,$B$6:$D$8,2,FALSE), VLOOKUP(I13,$B$6:$D$8,3,FALSE))</f>
        <v/>
      </c>
      <c r="K13" s="13" t="n">
        <v>1</v>
      </c>
      <c r="L13" s="13" t="inlineStr">
        <is>
          <t>M</t>
        </is>
      </c>
      <c r="M13" s="14">
        <f>IF(K13=1, VLOOKUP(L13,$B$6:$D$8,2,FALSE), VLOOKUP(L13,$B$6:$D$8,3,FALSE))</f>
        <v/>
      </c>
      <c r="N13" s="13" t="n">
        <v>1</v>
      </c>
      <c r="O13" s="13" t="inlineStr">
        <is>
          <t>M</t>
        </is>
      </c>
      <c r="P13" s="14">
        <f>IF(N13=1, VLOOKUP(O13,$B$6:$D$8,2,FALSE), VLOOKUP(O13,$B$6:$D$8,3,FALSE))</f>
        <v/>
      </c>
      <c r="Q13" s="15">
        <f>SUM(B13,E13,H13,K13,N13)</f>
        <v/>
      </c>
      <c r="R13" s="16">
        <f>Q13/5</f>
        <v/>
      </c>
      <c r="S13" s="9">
        <f>R13*10</f>
        <v/>
      </c>
      <c r="T13" s="15">
        <f>SUM(D13,G13,J13,M13,P13)</f>
        <v/>
      </c>
      <c r="U13" s="9">
        <f>T13*2</f>
        <v/>
      </c>
      <c r="V13" s="9">
        <f>R13*100</f>
        <v/>
      </c>
      <c r="W13" s="9">
        <f>U13*10</f>
        <v/>
      </c>
      <c r="X13" s="9">
        <f>IF(V13&lt;=$X$5,V13*$X$7+$Y$7,IF(V13&lt;=$X$6,$X$8*V13+$Y$8,$X$9*V13+$Y$9))</f>
        <v/>
      </c>
      <c r="Y13" s="9">
        <f>3*V13</f>
        <v/>
      </c>
      <c r="Z13" s="9">
        <f>IF(V13&lt;50,0,IF(W13=300,0,IF(W13&gt;=X13,$S$7 + (-$S$7+$S$6)*(W13-X13)/MAX(0.0001,(Y13-X13)),IF(W13&lt;=(V13-60),-$S$5,$S$7 - ($S$5+$S$7)*(X13-W13)/MAX(0.0001,(X13-(V13-60)))))))*10</f>
        <v/>
      </c>
      <c r="AA13" s="9">
        <f>MAX(10,MIN(100, IF(V13&lt;50,V13,V13+Z13)))</f>
        <v/>
      </c>
      <c r="AB13" s="9">
        <f>AA13/10</f>
        <v/>
      </c>
    </row>
    <row r="14" ht="19.5" customHeight="1" s="17">
      <c r="A14" s="11" t="inlineStr">
        <is>
          <t>Scenario 3</t>
        </is>
      </c>
      <c r="B14" s="13" t="n">
        <v>1</v>
      </c>
      <c r="C14" s="13" t="inlineStr">
        <is>
          <t>H</t>
        </is>
      </c>
      <c r="D14" s="14">
        <f>IF(B14=1, VLOOKUP(C14,$B$6:$D$8,2,FALSE), VLOOKUP(C14,$B$6:$D$8,3,FALSE))</f>
        <v/>
      </c>
      <c r="E14" s="13" t="n">
        <v>1</v>
      </c>
      <c r="F14" s="13" t="inlineStr">
        <is>
          <t>H</t>
        </is>
      </c>
      <c r="G14" s="14">
        <f>IF(E14=1, VLOOKUP(F14,$B$6:$D$8,2,FALSE), VLOOKUP(F14,$B$6:$D$8,3,FALSE))</f>
        <v/>
      </c>
      <c r="H14" s="13" t="n">
        <v>0</v>
      </c>
      <c r="I14" s="13" t="inlineStr">
        <is>
          <t>H</t>
        </is>
      </c>
      <c r="J14" s="14">
        <f>IF(H14=1, VLOOKUP(I14,$B$6:$D$8,2,FALSE), VLOOKUP(I14,$B$6:$D$8,3,FALSE))</f>
        <v/>
      </c>
      <c r="K14" s="13" t="n">
        <v>0</v>
      </c>
      <c r="L14" s="13" t="inlineStr">
        <is>
          <t>H</t>
        </is>
      </c>
      <c r="M14" s="14">
        <f>IF(K14=1, VLOOKUP(L14,$B$6:$D$8,2,FALSE), VLOOKUP(L14,$B$6:$D$8,3,FALSE))</f>
        <v/>
      </c>
      <c r="N14" s="13" t="n">
        <v>0</v>
      </c>
      <c r="O14" s="13" t="inlineStr">
        <is>
          <t>H</t>
        </is>
      </c>
      <c r="P14" s="14">
        <f>IF(N14=1, VLOOKUP(O14,$B$6:$D$8,2,FALSE), VLOOKUP(O14,$B$6:$D$8,3,FALSE))</f>
        <v/>
      </c>
      <c r="Q14" s="15">
        <f>SUM(B14,E14,H14,K14,N14)</f>
        <v/>
      </c>
      <c r="R14" s="16">
        <f>Q14/5</f>
        <v/>
      </c>
      <c r="S14" s="9">
        <f>R14*10</f>
        <v/>
      </c>
      <c r="T14" s="15">
        <f>SUM(D14,G14,J14,M14,P14)</f>
        <v/>
      </c>
      <c r="U14" s="9">
        <f>T14*2</f>
        <v/>
      </c>
      <c r="V14" s="9">
        <f>R14*100</f>
        <v/>
      </c>
      <c r="W14" s="9">
        <f>U14*10</f>
        <v/>
      </c>
      <c r="X14" s="9">
        <f>IF(V14&lt;=$X$5,V14*$X$7+$Y$7,IF(V14&lt;=$X$6,$X$8*V14+$Y$8,$X$9*V14+$Y$9))</f>
        <v/>
      </c>
      <c r="Y14" s="9">
        <f>3*V14</f>
        <v/>
      </c>
      <c r="Z14" s="9">
        <f>IF(V14&lt;50,0,IF(W14=300,0,IF(W14&gt;=X14,$S$7 + (-$S$7+$S$6)*(W14-X14)/MAX(0.0001,(Y14-X14)),IF(W14&lt;=(V14-60),-$S$5,$S$7 - ($S$5+$S$7)*(X14-W14)/MAX(0.0001,(X14-(V14-60)))))))*10</f>
        <v/>
      </c>
      <c r="AA14" s="9">
        <f>MAX(10,MIN(100, IF(V14&lt;50,V14,V14+Z14)))</f>
        <v/>
      </c>
      <c r="AB14" s="9">
        <f>AA14/10</f>
        <v/>
      </c>
    </row>
    <row r="15" ht="19.5" customHeight="1" s="17">
      <c r="A15" s="11" t="inlineStr">
        <is>
          <t>Scenario 4</t>
        </is>
      </c>
      <c r="B15" s="13" t="n">
        <v>1</v>
      </c>
      <c r="C15" s="13" t="inlineStr">
        <is>
          <t>L</t>
        </is>
      </c>
      <c r="D15" s="14">
        <f>IF(B15=1, VLOOKUP(C15,$B$6:$D$8,2,FALSE), VLOOKUP(C15,$B$6:$D$8,3,FALSE))</f>
        <v/>
      </c>
      <c r="E15" s="13" t="n">
        <v>1</v>
      </c>
      <c r="F15" s="13" t="inlineStr">
        <is>
          <t>L</t>
        </is>
      </c>
      <c r="G15" s="14">
        <f>IF(E15=1, VLOOKUP(F15,$B$6:$D$8,2,FALSE), VLOOKUP(F15,$B$6:$D$8,3,FALSE))</f>
        <v/>
      </c>
      <c r="H15" s="13" t="n">
        <v>1</v>
      </c>
      <c r="I15" s="13" t="inlineStr">
        <is>
          <t>L</t>
        </is>
      </c>
      <c r="J15" s="14">
        <f>IF(H15=1, VLOOKUP(I15,$B$6:$D$8,2,FALSE), VLOOKUP(I15,$B$6:$D$8,3,FALSE))</f>
        <v/>
      </c>
      <c r="K15" s="13" t="n">
        <v>0</v>
      </c>
      <c r="L15" s="13" t="inlineStr">
        <is>
          <t>L</t>
        </is>
      </c>
      <c r="M15" s="14">
        <f>IF(K15=1, VLOOKUP(L15,$B$6:$D$8,2,FALSE), VLOOKUP(L15,$B$6:$D$8,3,FALSE))</f>
        <v/>
      </c>
      <c r="N15" s="13" t="n">
        <v>0</v>
      </c>
      <c r="O15" s="13" t="inlineStr">
        <is>
          <t>L</t>
        </is>
      </c>
      <c r="P15" s="14">
        <f>IF(N15=1, VLOOKUP(O15,$B$6:$D$8,2,FALSE), VLOOKUP(O15,$B$6:$D$8,3,FALSE))</f>
        <v/>
      </c>
      <c r="Q15" s="15">
        <f>SUM(B15,E15,H15,K15,N15)</f>
        <v/>
      </c>
      <c r="R15" s="16">
        <f>Q15/5</f>
        <v/>
      </c>
      <c r="S15" s="9">
        <f>R15*10</f>
        <v/>
      </c>
      <c r="T15" s="15">
        <f>SUM(D15,G15,J15,M15,P15)</f>
        <v/>
      </c>
      <c r="U15" s="9">
        <f>T15*2</f>
        <v/>
      </c>
      <c r="V15" s="9">
        <f>R15*100</f>
        <v/>
      </c>
      <c r="W15" s="9">
        <f>U15*10</f>
        <v/>
      </c>
      <c r="X15" s="9">
        <f>IF(V15&lt;=$X$5,V15*$X$7+$Y$7,IF(V15&lt;=$X$6,$X$8*V15+$Y$8,$X$9*V15+$Y$9))</f>
        <v/>
      </c>
      <c r="Y15" s="9">
        <f>3*V15</f>
        <v/>
      </c>
      <c r="Z15" s="9">
        <f>IF(V15&lt;50,0,IF(W15=300,0,IF(W15&gt;=X15,$S$7 + (-$S$7+$S$6)*(W15-X15)/MAX(0.0001,(Y15-X15)),IF(W15&lt;=(V15-60),-$S$5,$S$7 - ($S$5+$S$7)*(X15-W15)/MAX(0.0001,(X15-(V15-60)))))))*10</f>
        <v/>
      </c>
      <c r="AA15" s="9">
        <f>MAX(10,MIN(100, IF(V15&lt;50,V15,V15+Z15)))</f>
        <v/>
      </c>
      <c r="AB15" s="9">
        <f>AA15/10</f>
        <v/>
      </c>
    </row>
    <row r="16" ht="19.5" customHeight="1" s="17">
      <c r="A16" s="11" t="inlineStr">
        <is>
          <t>Scenario 5</t>
        </is>
      </c>
      <c r="B16" s="13" t="n">
        <v>1</v>
      </c>
      <c r="C16" s="13" t="inlineStr">
        <is>
          <t>H</t>
        </is>
      </c>
      <c r="D16" s="14">
        <f>IF(B16=1, VLOOKUP(C16,$B$6:$D$8,2,FALSE), VLOOKUP(C16,$B$6:$D$8,3,FALSE))</f>
        <v/>
      </c>
      <c r="E16" s="13" t="n">
        <v>1</v>
      </c>
      <c r="F16" s="13" t="inlineStr">
        <is>
          <t>H</t>
        </is>
      </c>
      <c r="G16" s="14">
        <f>IF(E16=1, VLOOKUP(F16,$B$6:$D$8,2,FALSE), VLOOKUP(F16,$B$6:$D$8,3,FALSE))</f>
        <v/>
      </c>
      <c r="H16" s="13" t="n">
        <v>1</v>
      </c>
      <c r="I16" s="13" t="inlineStr">
        <is>
          <t>H</t>
        </is>
      </c>
      <c r="J16" s="14">
        <f>IF(H16=1, VLOOKUP(I16,$B$6:$D$8,2,FALSE), VLOOKUP(I16,$B$6:$D$8,3,FALSE))</f>
        <v/>
      </c>
      <c r="K16" s="13" t="n">
        <v>1</v>
      </c>
      <c r="L16" s="13" t="inlineStr">
        <is>
          <t>H</t>
        </is>
      </c>
      <c r="M16" s="14">
        <f>IF(K16=1, VLOOKUP(L16,$B$6:$D$8,2,FALSE), VLOOKUP(L16,$B$6:$D$8,3,FALSE))</f>
        <v/>
      </c>
      <c r="N16" s="13" t="n">
        <v>0</v>
      </c>
      <c r="O16" s="13" t="inlineStr">
        <is>
          <t>H</t>
        </is>
      </c>
      <c r="P16" s="14">
        <f>IF(N16=1, VLOOKUP(O16,$B$6:$D$8,2,FALSE), VLOOKUP(O16,$B$6:$D$8,3,FALSE))</f>
        <v/>
      </c>
      <c r="Q16" s="15">
        <f>SUM(B16,E16,H16,K16,N16)</f>
        <v/>
      </c>
      <c r="R16" s="16">
        <f>Q16/5</f>
        <v/>
      </c>
      <c r="S16" s="9">
        <f>R16*10</f>
        <v/>
      </c>
      <c r="T16" s="15">
        <f>SUM(D16,G16,J16,M16,P16)</f>
        <v/>
      </c>
      <c r="U16" s="9">
        <f>T16*2</f>
        <v/>
      </c>
      <c r="V16" s="9">
        <f>R16*100</f>
        <v/>
      </c>
      <c r="W16" s="9">
        <f>U16*10</f>
        <v/>
      </c>
      <c r="X16" s="9">
        <f>IF(V16&lt;=$X$5,V16*$X$7+$Y$7,IF(V16&lt;=$X$6,$X$8*V16+$Y$8,$X$9*V16+$Y$9))</f>
        <v/>
      </c>
      <c r="Y16" s="9">
        <f>3*V16</f>
        <v/>
      </c>
      <c r="Z16" s="9">
        <f>IF(V16&lt;50,0,IF(W16=300,0,IF(W16&gt;=X16,$S$7 + (-$S$7+$S$6)*(W16-X16)/MAX(0.0001,(Y16-X16)),IF(W16&lt;=(V16-60),-$S$5,$S$7 - ($S$5+$S$7)*(X16-W16)/MAX(0.0001,(X16-(V16-60)))))))*10</f>
        <v/>
      </c>
      <c r="AA16" s="9">
        <f>MAX(10,MIN(100, IF(V16&lt;50,V16,V16+Z16)))</f>
        <v/>
      </c>
      <c r="AB16" s="9">
        <f>AA16/10</f>
        <v/>
      </c>
    </row>
    <row r="17" ht="19.5" customHeight="1" s="17">
      <c r="A17" s="11" t="inlineStr">
        <is>
          <t>Scenario 6</t>
        </is>
      </c>
      <c r="B17" s="13" t="n">
        <v>1</v>
      </c>
      <c r="C17" s="13" t="inlineStr">
        <is>
          <t>M</t>
        </is>
      </c>
      <c r="D17" s="14">
        <f>IF(B17=1, VLOOKUP(C17,$B$6:$D$8,2,FALSE), VLOOKUP(C17,$B$6:$D$8,3,FALSE))</f>
        <v/>
      </c>
      <c r="E17" s="13" t="n">
        <v>1</v>
      </c>
      <c r="F17" s="13" t="inlineStr">
        <is>
          <t>M</t>
        </is>
      </c>
      <c r="G17" s="14">
        <f>IF(E17=1, VLOOKUP(F17,$B$6:$D$8,2,FALSE), VLOOKUP(F17,$B$6:$D$8,3,FALSE))</f>
        <v/>
      </c>
      <c r="H17" s="13" t="n">
        <v>1</v>
      </c>
      <c r="I17" s="13" t="inlineStr">
        <is>
          <t>M</t>
        </is>
      </c>
      <c r="J17" s="14">
        <f>IF(H17=1, VLOOKUP(I17,$B$6:$D$8,2,FALSE), VLOOKUP(I17,$B$6:$D$8,3,FALSE))</f>
        <v/>
      </c>
      <c r="K17" s="13" t="n">
        <v>0</v>
      </c>
      <c r="L17" s="13" t="inlineStr">
        <is>
          <t>M</t>
        </is>
      </c>
      <c r="M17" s="14">
        <f>IF(K17=1, VLOOKUP(L17,$B$6:$D$8,2,FALSE), VLOOKUP(L17,$B$6:$D$8,3,FALSE))</f>
        <v/>
      </c>
      <c r="N17" s="13" t="n">
        <v>0</v>
      </c>
      <c r="O17" s="13" t="inlineStr">
        <is>
          <t>M</t>
        </is>
      </c>
      <c r="P17" s="14">
        <f>IF(N17=1, VLOOKUP(O17,$B$6:$D$8,2,FALSE), VLOOKUP(O17,$B$6:$D$8,3,FALSE))</f>
        <v/>
      </c>
      <c r="Q17" s="15">
        <f>SUM(B17,E17,H17,K17,N17)</f>
        <v/>
      </c>
      <c r="R17" s="16">
        <f>Q17/5</f>
        <v/>
      </c>
      <c r="S17" s="9">
        <f>R17*10</f>
        <v/>
      </c>
      <c r="T17" s="15">
        <f>SUM(D17,G17,J17,M17,P17)</f>
        <v/>
      </c>
      <c r="U17" s="9">
        <f>T17*2</f>
        <v/>
      </c>
      <c r="V17" s="9">
        <f>R17*100</f>
        <v/>
      </c>
      <c r="W17" s="9">
        <f>U17*10</f>
        <v/>
      </c>
      <c r="X17" s="9">
        <f>IF(V17&lt;=$X$5,V17*$X$7+$Y$7,IF(V17&lt;=$X$6,$X$8*V17+$Y$8,$X$9*V17+$Y$9))</f>
        <v/>
      </c>
      <c r="Y17" s="9">
        <f>3*V17</f>
        <v/>
      </c>
      <c r="Z17" s="9">
        <f>IF(V17&lt;50,0,IF(W17=300,0,IF(W17&gt;=X17,$S$7 + (-$S$7+$S$6)*(W17-X17)/MAX(0.0001,(Y17-X17)),IF(W17&lt;=(V17-60),-$S$5,$S$7 - ($S$5+$S$7)*(X17-W17)/MAX(0.0001,(X17-(V17-60)))))))*10</f>
        <v/>
      </c>
      <c r="AA17" s="9">
        <f>MAX(10,MIN(100, IF(V17&lt;50,V17,V17+Z17)))</f>
        <v/>
      </c>
      <c r="AB17" s="9">
        <f>AA17/10</f>
        <v/>
      </c>
    </row>
    <row r="18" ht="19.5" customHeight="1" s="17">
      <c r="A18" s="11" t="inlineStr">
        <is>
          <t>Scenario 7</t>
        </is>
      </c>
      <c r="B18" s="13" t="n">
        <v>1</v>
      </c>
      <c r="C18" s="13" t="inlineStr">
        <is>
          <t>H</t>
        </is>
      </c>
      <c r="D18" s="14">
        <f>IF(B18=1, VLOOKUP(C18,$B$6:$D$8,2,FALSE), VLOOKUP(C18,$B$6:$D$8,3,FALSE))</f>
        <v/>
      </c>
      <c r="E18" s="13" t="n">
        <v>0</v>
      </c>
      <c r="F18" s="13" t="inlineStr">
        <is>
          <t>L</t>
        </is>
      </c>
      <c r="G18" s="14">
        <f>IF(E18=1, VLOOKUP(F18,$B$6:$D$8,2,FALSE), VLOOKUP(F18,$B$6:$D$8,3,FALSE))</f>
        <v/>
      </c>
      <c r="H18" s="13" t="n">
        <v>0</v>
      </c>
      <c r="I18" s="13" t="inlineStr">
        <is>
          <t>L</t>
        </is>
      </c>
      <c r="J18" s="14">
        <f>IF(H18=1, VLOOKUP(I18,$B$6:$D$8,2,FALSE), VLOOKUP(I18,$B$6:$D$8,3,FALSE))</f>
        <v/>
      </c>
      <c r="K18" s="13" t="n">
        <v>0</v>
      </c>
      <c r="L18" s="13" t="inlineStr">
        <is>
          <t>L</t>
        </is>
      </c>
      <c r="M18" s="14">
        <f>IF(K18=1, VLOOKUP(L18,$B$6:$D$8,2,FALSE), VLOOKUP(L18,$B$6:$D$8,3,FALSE))</f>
        <v/>
      </c>
      <c r="N18" s="13" t="n">
        <v>0</v>
      </c>
      <c r="O18" s="13" t="inlineStr">
        <is>
          <t>L</t>
        </is>
      </c>
      <c r="P18" s="14">
        <f>IF(N18=1, VLOOKUP(O18,$B$6:$D$8,2,FALSE), VLOOKUP(O18,$B$6:$D$8,3,FALSE))</f>
        <v/>
      </c>
      <c r="Q18" s="15">
        <f>SUM(B18,E18,H18,K18,N18)</f>
        <v/>
      </c>
      <c r="R18" s="16">
        <f>Q18/5</f>
        <v/>
      </c>
      <c r="S18" s="9">
        <f>R18*10</f>
        <v/>
      </c>
      <c r="T18" s="15">
        <f>SUM(D18,G18,J18,M18,P18)</f>
        <v/>
      </c>
      <c r="U18" s="9">
        <f>T18*2</f>
        <v/>
      </c>
      <c r="V18" s="9">
        <f>R18*100</f>
        <v/>
      </c>
      <c r="W18" s="9">
        <f>U18*10</f>
        <v/>
      </c>
      <c r="X18" s="9">
        <f>IF(V18&lt;=$X$5,V18*$X$7+$Y$7,IF(V18&lt;=$X$6,$X$8*V18+$Y$8,$X$9*V18+$Y$9))</f>
        <v/>
      </c>
      <c r="Y18" s="9">
        <f>3*V18</f>
        <v/>
      </c>
      <c r="Z18" s="9">
        <f>IF(V18&lt;50,0,IF(W18=300,0,IF(W18&gt;=X18,$S$7 + (-$S$7+$S$6)*(W18-X18)/MAX(0.0001,(Y18-X18)),IF(W18&lt;=(V18-60),-$S$5,$S$7 - ($S$5+$S$7)*(X18-W18)/MAX(0.0001,(X18-(V18-60)))))))*10</f>
        <v/>
      </c>
      <c r="AA18" s="9">
        <f>MAX(10,MIN(100, IF(V18&lt;50,V18,V18+Z18)))</f>
        <v/>
      </c>
      <c r="AB18" s="9">
        <f>AA18/10</f>
        <v/>
      </c>
    </row>
    <row r="19" ht="19.5" customHeight="1" s="17">
      <c r="A19" s="11" t="inlineStr">
        <is>
          <t>Scenario 8</t>
        </is>
      </c>
      <c r="B19" s="13" t="n">
        <v>0</v>
      </c>
      <c r="C19" s="13" t="inlineStr">
        <is>
          <t>L</t>
        </is>
      </c>
      <c r="D19" s="14">
        <f>IF(B19=1, VLOOKUP(C19,$B$6:$D$8,2,FALSE), VLOOKUP(C19,$B$6:$D$8,3,FALSE))</f>
        <v/>
      </c>
      <c r="E19" s="13" t="n">
        <v>0</v>
      </c>
      <c r="F19" s="13" t="inlineStr">
        <is>
          <t>M</t>
        </is>
      </c>
      <c r="G19" s="14">
        <f>IF(E19=1, VLOOKUP(F19,$B$6:$D$8,2,FALSE), VLOOKUP(F19,$B$6:$D$8,3,FALSE))</f>
        <v/>
      </c>
      <c r="H19" s="13" t="n">
        <v>1</v>
      </c>
      <c r="I19" s="13" t="inlineStr">
        <is>
          <t>H</t>
        </is>
      </c>
      <c r="J19" s="14">
        <f>IF(H19=1, VLOOKUP(I19,$B$6:$D$8,2,FALSE), VLOOKUP(I19,$B$6:$D$8,3,FALSE))</f>
        <v/>
      </c>
      <c r="K19" s="13" t="n">
        <v>1</v>
      </c>
      <c r="L19" s="13" t="inlineStr">
        <is>
          <t>M</t>
        </is>
      </c>
      <c r="M19" s="14">
        <f>IF(K19=1, VLOOKUP(L19,$B$6:$D$8,2,FALSE), VLOOKUP(L19,$B$6:$D$8,3,FALSE))</f>
        <v/>
      </c>
      <c r="N19" s="13" t="n">
        <v>1</v>
      </c>
      <c r="O19" s="13" t="inlineStr">
        <is>
          <t>H</t>
        </is>
      </c>
      <c r="P19" s="14">
        <f>IF(N19=1, VLOOKUP(O19,$B$6:$D$8,2,FALSE), VLOOKUP(O19,$B$6:$D$8,3,FALSE))</f>
        <v/>
      </c>
      <c r="Q19" s="15">
        <f>SUM(B19,E19,H19,K19,N19)</f>
        <v/>
      </c>
      <c r="R19" s="16">
        <f>Q19/5</f>
        <v/>
      </c>
      <c r="S19" s="9">
        <f>R19*10</f>
        <v/>
      </c>
      <c r="T19" s="15">
        <f>SUM(D19,G19,J19,M19,P19)</f>
        <v/>
      </c>
      <c r="U19" s="9">
        <f>T19*2</f>
        <v/>
      </c>
      <c r="V19" s="9">
        <f>R19*100</f>
        <v/>
      </c>
      <c r="W19" s="9">
        <f>U19*10</f>
        <v/>
      </c>
      <c r="X19" s="9">
        <f>IF(V19&lt;=$X$5,V19*$X$7+$Y$7,IF(V19&lt;=$X$6,$X$8*V19+$Y$8,$X$9*V19+$Y$9))</f>
        <v/>
      </c>
      <c r="Y19" s="9">
        <f>3*V19</f>
        <v/>
      </c>
      <c r="Z19" s="9">
        <f>IF(V19&lt;50,0,IF(W19=300,0,IF(W19&gt;=X19,$S$7 + (-$S$7+$S$6)*(W19-X19)/MAX(0.0001,(Y19-X19)),IF(W19&lt;=(V19-60),-$S$5,$S$7 - ($S$5+$S$7)*(X19-W19)/MAX(0.0001,(X19-(V19-60)))))))*10</f>
        <v/>
      </c>
      <c r="AA19" s="9">
        <f>MAX(10,MIN(100, IF(V19&lt;50,V19,V19+Z19)))</f>
        <v/>
      </c>
      <c r="AB19" s="9">
        <f>AA19/10</f>
        <v/>
      </c>
    </row>
    <row r="20" ht="19.5" customHeight="1" s="17">
      <c r="A20" s="11" t="inlineStr">
        <is>
          <t>Scenario 9</t>
        </is>
      </c>
      <c r="B20" s="13" t="n">
        <v>1</v>
      </c>
      <c r="C20" s="13" t="inlineStr">
        <is>
          <t>M</t>
        </is>
      </c>
      <c r="D20" s="14">
        <f>IF(B20=1, VLOOKUP(C20,$B$6:$D$8,2,FALSE), VLOOKUP(C20,$B$6:$D$8,3,FALSE))</f>
        <v/>
      </c>
      <c r="E20" s="13" t="n">
        <v>1</v>
      </c>
      <c r="F20" s="13" t="inlineStr">
        <is>
          <t>H</t>
        </is>
      </c>
      <c r="G20" s="14">
        <f>IF(E20=1, VLOOKUP(F20,$B$6:$D$8,2,FALSE), VLOOKUP(F20,$B$6:$D$8,3,FALSE))</f>
        <v/>
      </c>
      <c r="H20" s="13" t="n">
        <v>1</v>
      </c>
      <c r="I20" s="13" t="inlineStr">
        <is>
          <t>H</t>
        </is>
      </c>
      <c r="J20" s="14">
        <f>IF(H20=1, VLOOKUP(I20,$B$6:$D$8,2,FALSE), VLOOKUP(I20,$B$6:$D$8,3,FALSE))</f>
        <v/>
      </c>
      <c r="K20" s="13" t="n">
        <v>1</v>
      </c>
      <c r="L20" s="13" t="inlineStr">
        <is>
          <t>H</t>
        </is>
      </c>
      <c r="M20" s="14">
        <f>IF(K20=1, VLOOKUP(L20,$B$6:$D$8,2,FALSE), VLOOKUP(L20,$B$6:$D$8,3,FALSE))</f>
        <v/>
      </c>
      <c r="N20" s="13" t="n">
        <v>1</v>
      </c>
      <c r="O20" s="13" t="inlineStr">
        <is>
          <t>H</t>
        </is>
      </c>
      <c r="P20" s="14">
        <f>IF(N20=1, VLOOKUP(O20,$B$6:$D$8,2,FALSE), VLOOKUP(O20,$B$6:$D$8,3,FALSE))</f>
        <v/>
      </c>
      <c r="Q20" s="15">
        <f>SUM(B20,E20,H20,K20,N20)</f>
        <v/>
      </c>
      <c r="R20" s="16">
        <f>Q20/5</f>
        <v/>
      </c>
      <c r="S20" s="9">
        <f>R20*10</f>
        <v/>
      </c>
      <c r="T20" s="15">
        <f>SUM(D20,G20,J20,M20,P20)</f>
        <v/>
      </c>
      <c r="U20" s="9">
        <f>T20*2</f>
        <v/>
      </c>
      <c r="V20" s="9">
        <f>R20*100</f>
        <v/>
      </c>
      <c r="W20" s="9">
        <f>U20*10</f>
        <v/>
      </c>
      <c r="X20" s="9">
        <f>IF(V20&lt;=$X$5,V20*$X$7+$Y$7,IF(V20&lt;=$X$6,$X$8*V20+$Y$8,$X$9*V20+$Y$9))</f>
        <v/>
      </c>
      <c r="Y20" s="9">
        <f>3*V20</f>
        <v/>
      </c>
      <c r="Z20" s="9">
        <f>IF(V20&lt;50,0,IF(W20=300,0,IF(W20&gt;=X20,$S$7 + (-$S$7+$S$6)*(W20-X20)/MAX(0.0001,(Y20-X20)),IF(W20&lt;=(V20-60),-$S$5,$S$7 - ($S$5+$S$7)*(X20-W20)/MAX(0.0001,(X20-(V20-60)))))))*10</f>
        <v/>
      </c>
      <c r="AA20" s="9">
        <f>MAX(10,MIN(100, IF(V20&lt;50,V20,V20+Z20)))</f>
        <v/>
      </c>
      <c r="AB20" s="9">
        <f>AA20/10</f>
        <v/>
      </c>
    </row>
    <row r="21" ht="19.5" customHeight="1" s="17">
      <c r="A21" s="11" t="inlineStr">
        <is>
          <t>Scenario10</t>
        </is>
      </c>
      <c r="B21" s="13" t="n">
        <v>1</v>
      </c>
      <c r="C21" s="13" t="inlineStr">
        <is>
          <t>H</t>
        </is>
      </c>
      <c r="D21" s="14">
        <f>IF(B21=1, VLOOKUP(C21,$B$6:$D$8,2,FALSE), VLOOKUP(C21,$B$6:$D$8,3,FALSE))</f>
        <v/>
      </c>
      <c r="E21" s="13" t="n">
        <v>1</v>
      </c>
      <c r="F21" s="13" t="inlineStr">
        <is>
          <t>H</t>
        </is>
      </c>
      <c r="G21" s="14">
        <f>IF(E21=1, VLOOKUP(F21,$B$6:$D$8,2,FALSE), VLOOKUP(F21,$B$6:$D$8,3,FALSE))</f>
        <v/>
      </c>
      <c r="H21" s="13" t="n">
        <v>1</v>
      </c>
      <c r="I21" s="13" t="inlineStr">
        <is>
          <t>H</t>
        </is>
      </c>
      <c r="J21" s="14">
        <f>IF(H21=1, VLOOKUP(I21,$B$6:$D$8,2,FALSE), VLOOKUP(I21,$B$6:$D$8,3,FALSE))</f>
        <v/>
      </c>
      <c r="K21" s="13" t="n">
        <v>0</v>
      </c>
      <c r="L21" s="13" t="inlineStr">
        <is>
          <t>H</t>
        </is>
      </c>
      <c r="M21" s="14">
        <f>IF(K21=1, VLOOKUP(L21,$B$6:$D$8,2,FALSE), VLOOKUP(L21,$B$6:$D$8,3,FALSE))</f>
        <v/>
      </c>
      <c r="N21" s="13" t="n">
        <v>0</v>
      </c>
      <c r="O21" s="13" t="inlineStr">
        <is>
          <t>H</t>
        </is>
      </c>
      <c r="P21" s="14">
        <f>IF(N21=1, VLOOKUP(O21,$B$6:$D$8,2,FALSE), VLOOKUP(O21,$B$6:$D$8,3,FALSE))</f>
        <v/>
      </c>
      <c r="Q21" s="15">
        <f>SUM(B21,E21,H21,K21,N21)</f>
        <v/>
      </c>
      <c r="R21" s="16">
        <f>Q21/5</f>
        <v/>
      </c>
      <c r="S21" s="9">
        <f>R21*10</f>
        <v/>
      </c>
      <c r="T21" s="15">
        <f>SUM(D21,G21,J21,M21,P21)</f>
        <v/>
      </c>
      <c r="U21" s="9">
        <f>T21*2</f>
        <v/>
      </c>
      <c r="V21" s="9">
        <f>R21*100</f>
        <v/>
      </c>
      <c r="W21" s="9">
        <f>U21*10</f>
        <v/>
      </c>
      <c r="X21" s="9">
        <f>IF(V21&lt;=$X$5,V21*$X$7+$Y$7,IF(V21&lt;=$X$6,$X$8*V21+$Y$8,$X$9*V21+$Y$9))</f>
        <v/>
      </c>
      <c r="Y21" s="9">
        <f>3*V21</f>
        <v/>
      </c>
      <c r="Z21" s="9">
        <f>IF(V21&lt;50,0,IF(W21=300,0,IF(W21&gt;=X21,$S$7 + (-$S$7+$S$6)*(W21-X21)/MAX(0.0001,(Y21-X21)),IF(W21&lt;=(V21-60),-$S$5,$S$7 - ($S$5+$S$7)*(X21-W21)/MAX(0.0001,(X21-(V21-60)))))))*10</f>
        <v/>
      </c>
      <c r="AA21" s="9">
        <f>MAX(10,MIN(100, IF(V21&lt;50,V21,V21+Z21)))</f>
        <v/>
      </c>
      <c r="AB21" s="9">
        <f>AA21/10</f>
        <v/>
      </c>
    </row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5">
    <mergeCell ref="A2:U2"/>
    <mergeCell ref="A4:D4"/>
    <mergeCell ref="L4:U4"/>
    <mergeCell ref="A1:U1"/>
    <mergeCell ref="F4:J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2025-12-26T22:30:41Z</dcterms:created>
  <dcterms:modified xmlns:dcterms="http://purl.org/dc/terms/" xmlns:xsi="http://www.w3.org/2001/XMLSchema-instance" xsi:type="dcterms:W3CDTF">2026-01-16T22:14:13Z</dcterms:modified>
</cp:coreProperties>
</file>